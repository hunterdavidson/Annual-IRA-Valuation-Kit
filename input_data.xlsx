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unter\Downloads\IRA_PDF_Toolkit\"/>
    </mc:Choice>
  </mc:AlternateContent>
  <xr:revisionPtr revIDLastSave="0" documentId="13_ncr:1_{CDC2EFE8-F7D0-42D9-A8A4-8EEC0F97AB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Table" sheetId="2" r:id="rId1"/>
    <sheet name="Name Mapping" sheetId="4" r:id="rId2"/>
    <sheet name="Data Checks" sheetId="6" r:id="rId3"/>
    <sheet name="Unique PDFs To Be Created" sheetId="5" r:id="rId4"/>
    <sheet name="Pull Data" sheetId="1" r:id="rId5"/>
    <sheet name="Raw Data" sheetId="8" r:id="rId6"/>
  </sheets>
  <definedNames>
    <definedName name="_xlnm._FilterDatabase" localSheetId="1" hidden="1">'Name Mapping'!$B$2:$B$29</definedName>
    <definedName name="_xlnm._FilterDatabase" localSheetId="4" hidden="1">'Pull Data'!$A$1:$J$500</definedName>
    <definedName name="_xlnm._FilterDatabase" localSheetId="3" hidden="1">'Unique PDFs To Be Created'!$A$3:$C$67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 a="1"/>
  <c r="C16" i="1" s="1"/>
  <c r="C28" i="1" a="1"/>
  <c r="C28" i="1" s="1"/>
  <c r="C40" i="1" a="1"/>
  <c r="C40" i="1" s="1"/>
  <c r="C124" i="1" a="1"/>
  <c r="C124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D2" i="1"/>
  <c r="C2" i="1" s="1" a="1"/>
  <c r="C2" i="1" s="1"/>
  <c r="A2" i="4" a="1"/>
  <c r="A2" i="4" s="1"/>
  <c r="F2" i="4" a="1"/>
  <c r="A2" i="6" a="1"/>
  <c r="A2" i="6" s="1"/>
  <c r="D3" i="1"/>
  <c r="A3" i="1" s="1"/>
  <c r="D4" i="1"/>
  <c r="E4" i="1" s="1"/>
  <c r="D5" i="1"/>
  <c r="H5" i="1" s="1"/>
  <c r="D6" i="1"/>
  <c r="E6" i="1" s="1"/>
  <c r="D7" i="1"/>
  <c r="A7" i="1" s="1"/>
  <c r="D8" i="1"/>
  <c r="F8" i="1" s="1"/>
  <c r="D9" i="1"/>
  <c r="H9" i="1" s="1"/>
  <c r="D10" i="1"/>
  <c r="E10" i="1" s="1"/>
  <c r="D11" i="1"/>
  <c r="D12" i="1"/>
  <c r="D13" i="1"/>
  <c r="C13" i="1" s="1" a="1"/>
  <c r="C13" i="1" s="1"/>
  <c r="D14" i="1"/>
  <c r="C14" i="1" s="1" a="1"/>
  <c r="C14" i="1" s="1"/>
  <c r="D15" i="1"/>
  <c r="A15" i="1" s="1"/>
  <c r="D16" i="1"/>
  <c r="H16" i="1" s="1"/>
  <c r="D17" i="1"/>
  <c r="G17" i="1" s="1"/>
  <c r="D18" i="1"/>
  <c r="C18" i="1" s="1" a="1"/>
  <c r="C18" i="1" s="1"/>
  <c r="D19" i="1"/>
  <c r="H19" i="1" s="1"/>
  <c r="D20" i="1"/>
  <c r="C20" i="1" s="1" a="1"/>
  <c r="C20" i="1" s="1"/>
  <c r="D21" i="1"/>
  <c r="C21" i="1" s="1" a="1"/>
  <c r="C21" i="1" s="1"/>
  <c r="D22" i="1"/>
  <c r="E22" i="1" s="1"/>
  <c r="D23" i="1"/>
  <c r="C23" i="1" s="1" a="1"/>
  <c r="C23" i="1" s="1"/>
  <c r="D24" i="1"/>
  <c r="G24" i="1" s="1"/>
  <c r="D25" i="1"/>
  <c r="C25" i="1" s="1" a="1"/>
  <c r="C25" i="1" s="1"/>
  <c r="D26" i="1"/>
  <c r="E26" i="1" s="1"/>
  <c r="D27" i="1"/>
  <c r="C27" i="1" s="1" a="1"/>
  <c r="C27" i="1" s="1"/>
  <c r="D28" i="1"/>
  <c r="F28" i="1" s="1"/>
  <c r="D29" i="1"/>
  <c r="C29" i="1" s="1" a="1"/>
  <c r="C29" i="1" s="1"/>
  <c r="D30" i="1"/>
  <c r="C30" i="1" s="1" a="1"/>
  <c r="C30" i="1" s="1"/>
  <c r="D31" i="1"/>
  <c r="C31" i="1" s="1" a="1"/>
  <c r="C31" i="1" s="1"/>
  <c r="D32" i="1"/>
  <c r="C32" i="1" s="1" a="1"/>
  <c r="C32" i="1" s="1"/>
  <c r="D33" i="1"/>
  <c r="C33" i="1" s="1" a="1"/>
  <c r="C33" i="1" s="1"/>
  <c r="D34" i="1"/>
  <c r="A34" i="1" s="1"/>
  <c r="D35" i="1"/>
  <c r="C35" i="1" s="1" a="1"/>
  <c r="C35" i="1" s="1"/>
  <c r="D36" i="1"/>
  <c r="G36" i="1" s="1"/>
  <c r="D37" i="1"/>
  <c r="C37" i="1" s="1" a="1"/>
  <c r="C37" i="1" s="1"/>
  <c r="D38" i="1"/>
  <c r="G38" i="1" s="1"/>
  <c r="D39" i="1"/>
  <c r="G39" i="1" s="1"/>
  <c r="D40" i="1"/>
  <c r="H40" i="1" s="1"/>
  <c r="D41" i="1"/>
  <c r="C41" i="1" s="1" a="1"/>
  <c r="C41" i="1" s="1"/>
  <c r="D42" i="1"/>
  <c r="C42" i="1" s="1" a="1"/>
  <c r="C42" i="1" s="1"/>
  <c r="D43" i="1"/>
  <c r="C43" i="1" s="1" a="1"/>
  <c r="C43" i="1" s="1"/>
  <c r="D44" i="1"/>
  <c r="C44" i="1" s="1" a="1"/>
  <c r="C44" i="1" s="1"/>
  <c r="D45" i="1"/>
  <c r="E45" i="1" s="1"/>
  <c r="D46" i="1"/>
  <c r="E46" i="1" s="1"/>
  <c r="D47" i="1"/>
  <c r="G47" i="1" s="1"/>
  <c r="D48" i="1"/>
  <c r="G48" i="1" s="1"/>
  <c r="D49" i="1"/>
  <c r="G49" i="1" s="1"/>
  <c r="D50" i="1"/>
  <c r="F50" i="1" s="1"/>
  <c r="D51" i="1"/>
  <c r="C51" i="1" s="1" a="1"/>
  <c r="C51" i="1" s="1"/>
  <c r="D52" i="1"/>
  <c r="D53" i="1"/>
  <c r="C53" i="1" s="1" a="1"/>
  <c r="C53" i="1" s="1"/>
  <c r="D54" i="1"/>
  <c r="E54" i="1" s="1"/>
  <c r="D55" i="1"/>
  <c r="H55" i="1" s="1"/>
  <c r="D56" i="1"/>
  <c r="H56" i="1" s="1"/>
  <c r="D57" i="1"/>
  <c r="C57" i="1" s="1" a="1"/>
  <c r="C57" i="1" s="1"/>
  <c r="D58" i="1"/>
  <c r="G58" i="1" s="1"/>
  <c r="D59" i="1"/>
  <c r="G59" i="1" s="1"/>
  <c r="D60" i="1"/>
  <c r="E60" i="1" s="1"/>
  <c r="D61" i="1"/>
  <c r="H61" i="1" s="1"/>
  <c r="D62" i="1"/>
  <c r="C62" i="1" s="1" a="1"/>
  <c r="C62" i="1" s="1"/>
  <c r="D63" i="1"/>
  <c r="H63" i="1" s="1"/>
  <c r="D64" i="1"/>
  <c r="C64" i="1" s="1" a="1"/>
  <c r="C64" i="1" s="1"/>
  <c r="D65" i="1"/>
  <c r="C65" i="1" s="1" a="1"/>
  <c r="C65" i="1" s="1"/>
  <c r="D66" i="1"/>
  <c r="C66" i="1" s="1" a="1"/>
  <c r="C66" i="1" s="1"/>
  <c r="D67" i="1"/>
  <c r="C67" i="1" s="1" a="1"/>
  <c r="C67" i="1" s="1"/>
  <c r="D68" i="1"/>
  <c r="C68" i="1" s="1" a="1"/>
  <c r="C68" i="1" s="1"/>
  <c r="D69" i="1"/>
  <c r="C69" i="1" s="1" a="1"/>
  <c r="C69" i="1" s="1"/>
  <c r="D70" i="1"/>
  <c r="C70" i="1" s="1" a="1"/>
  <c r="C70" i="1" s="1"/>
  <c r="D71" i="1"/>
  <c r="E71" i="1" s="1"/>
  <c r="D72" i="1"/>
  <c r="C72" i="1" s="1" a="1"/>
  <c r="C72" i="1" s="1"/>
  <c r="D73" i="1"/>
  <c r="C73" i="1" s="1" a="1"/>
  <c r="C73" i="1" s="1"/>
  <c r="D74" i="1"/>
  <c r="E74" i="1" s="1"/>
  <c r="D75" i="1"/>
  <c r="C75" i="1" s="1" a="1"/>
  <c r="C75" i="1" s="1"/>
  <c r="D76" i="1"/>
  <c r="C76" i="1" s="1" a="1"/>
  <c r="C76" i="1" s="1"/>
  <c r="D77" i="1"/>
  <c r="A77" i="1" s="1"/>
  <c r="D78" i="1"/>
  <c r="C78" i="1" s="1" a="1"/>
  <c r="C78" i="1" s="1"/>
  <c r="D79" i="1"/>
  <c r="C79" i="1" s="1" a="1"/>
  <c r="C79" i="1" s="1"/>
  <c r="D80" i="1"/>
  <c r="C80" i="1" s="1" a="1"/>
  <c r="C80" i="1" s="1"/>
  <c r="D81" i="1"/>
  <c r="C81" i="1" s="1" a="1"/>
  <c r="C81" i="1" s="1"/>
  <c r="D82" i="1"/>
  <c r="C82" i="1" s="1" a="1"/>
  <c r="C82" i="1" s="1"/>
  <c r="D83" i="1"/>
  <c r="G83" i="1" s="1"/>
  <c r="D84" i="1"/>
  <c r="G84" i="1" s="1"/>
  <c r="D85" i="1"/>
  <c r="G85" i="1" s="1"/>
  <c r="D86" i="1"/>
  <c r="A86" i="1" s="1"/>
  <c r="D87" i="1"/>
  <c r="C87" i="1" s="1" a="1"/>
  <c r="C87" i="1" s="1"/>
  <c r="D88" i="1"/>
  <c r="G88" i="1" s="1"/>
  <c r="D89" i="1"/>
  <c r="G89" i="1" s="1"/>
  <c r="D90" i="1"/>
  <c r="C90" i="1" s="1" a="1"/>
  <c r="C90" i="1" s="1"/>
  <c r="D91" i="1"/>
  <c r="A91" i="1" s="1"/>
  <c r="D92" i="1"/>
  <c r="G92" i="1" s="1"/>
  <c r="D93" i="1"/>
  <c r="F93" i="1" s="1"/>
  <c r="D94" i="1"/>
  <c r="D95" i="1"/>
  <c r="C95" i="1" s="1" a="1"/>
  <c r="C95" i="1" s="1"/>
  <c r="D96" i="1"/>
  <c r="H96" i="1" s="1"/>
  <c r="D97" i="1"/>
  <c r="H97" i="1" s="1"/>
  <c r="D98" i="1"/>
  <c r="D99" i="1"/>
  <c r="E99" i="1" s="1"/>
  <c r="D100" i="1"/>
  <c r="E100" i="1" s="1"/>
  <c r="D101" i="1"/>
  <c r="C101" i="1" s="1" a="1"/>
  <c r="C101" i="1" s="1"/>
  <c r="D102" i="1"/>
  <c r="E102" i="1" s="1"/>
  <c r="D103" i="1"/>
  <c r="E103" i="1" s="1"/>
  <c r="D104" i="1"/>
  <c r="D105" i="1"/>
  <c r="A105" i="1" s="1"/>
  <c r="D106" i="1"/>
  <c r="A106" i="1" s="1"/>
  <c r="D107" i="1"/>
  <c r="E107" i="1" s="1"/>
  <c r="D108" i="1"/>
  <c r="E108" i="1" s="1"/>
  <c r="D109" i="1"/>
  <c r="G109" i="1" s="1"/>
  <c r="D110" i="1"/>
  <c r="D111" i="1"/>
  <c r="C111" i="1" s="1" a="1"/>
  <c r="C111" i="1" s="1"/>
  <c r="D112" i="1"/>
  <c r="C112" i="1" s="1" a="1"/>
  <c r="C112" i="1" s="1"/>
  <c r="D113" i="1"/>
  <c r="C113" i="1" s="1" a="1"/>
  <c r="C113" i="1" s="1"/>
  <c r="D114" i="1"/>
  <c r="A114" i="1" s="1"/>
  <c r="D115" i="1"/>
  <c r="C115" i="1" s="1" a="1"/>
  <c r="C115" i="1" s="1"/>
  <c r="D116" i="1"/>
  <c r="C116" i="1" s="1" a="1"/>
  <c r="C116" i="1" s="1"/>
  <c r="D117" i="1"/>
  <c r="C117" i="1" s="1" a="1"/>
  <c r="C117" i="1" s="1"/>
  <c r="D118" i="1"/>
  <c r="E118" i="1" s="1"/>
  <c r="D119" i="1"/>
  <c r="G119" i="1" s="1"/>
  <c r="D120" i="1"/>
  <c r="C120" i="1" s="1" a="1"/>
  <c r="C120" i="1" s="1"/>
  <c r="D121" i="1"/>
  <c r="E121" i="1" s="1"/>
  <c r="D122" i="1"/>
  <c r="C122" i="1" s="1" a="1"/>
  <c r="C122" i="1" s="1"/>
  <c r="D123" i="1"/>
  <c r="C123" i="1" s="1" a="1"/>
  <c r="C123" i="1" s="1"/>
  <c r="D124" i="1"/>
  <c r="D125" i="1"/>
  <c r="C125" i="1" s="1" a="1"/>
  <c r="C125" i="1" s="1"/>
  <c r="D126" i="1"/>
  <c r="A126" i="1" s="1"/>
  <c r="D127" i="1"/>
  <c r="C127" i="1" s="1" a="1"/>
  <c r="C127" i="1" s="1"/>
  <c r="D128" i="1"/>
  <c r="E128" i="1" s="1"/>
  <c r="D129" i="1"/>
  <c r="C129" i="1" s="1" a="1"/>
  <c r="C129" i="1" s="1"/>
  <c r="D130" i="1"/>
  <c r="H130" i="1" s="1"/>
  <c r="D131" i="1"/>
  <c r="E131" i="1" s="1"/>
  <c r="D132" i="1"/>
  <c r="D133" i="1"/>
  <c r="F133" i="1" s="1"/>
  <c r="D134" i="1"/>
  <c r="E134" i="1" s="1"/>
  <c r="D135" i="1"/>
  <c r="G135" i="1" s="1"/>
  <c r="D136" i="1"/>
  <c r="C136" i="1" s="1" a="1"/>
  <c r="C136" i="1" s="1"/>
  <c r="D137" i="1"/>
  <c r="E137" i="1" s="1"/>
  <c r="D138" i="1"/>
  <c r="E138" i="1" s="1"/>
  <c r="D139" i="1"/>
  <c r="F139" i="1" s="1"/>
  <c r="D140" i="1"/>
  <c r="C140" i="1" s="1" a="1"/>
  <c r="C140" i="1" s="1"/>
  <c r="D141" i="1"/>
  <c r="C141" i="1" s="1" a="1"/>
  <c r="C141" i="1" s="1"/>
  <c r="D142" i="1"/>
  <c r="G142" i="1" s="1"/>
  <c r="D143" i="1"/>
  <c r="G143" i="1" s="1"/>
  <c r="D144" i="1"/>
  <c r="C144" i="1" s="1" a="1"/>
  <c r="C144" i="1" s="1"/>
  <c r="D145" i="1"/>
  <c r="G145" i="1" s="1"/>
  <c r="D146" i="1"/>
  <c r="A146" i="1" s="1"/>
  <c r="D147" i="1"/>
  <c r="C147" i="1" s="1" a="1"/>
  <c r="C147" i="1" s="1"/>
  <c r="D148" i="1"/>
  <c r="E148" i="1" s="1"/>
  <c r="D149" i="1"/>
  <c r="G149" i="1" s="1"/>
  <c r="D150" i="1"/>
  <c r="A150" i="1" s="1"/>
  <c r="D151" i="1"/>
  <c r="E151" i="1" s="1"/>
  <c r="D152" i="1"/>
  <c r="C152" i="1" s="1" a="1"/>
  <c r="C152" i="1" s="1"/>
  <c r="D153" i="1"/>
  <c r="C153" i="1" s="1" a="1"/>
  <c r="C153" i="1" s="1"/>
  <c r="D154" i="1"/>
  <c r="C154" i="1" s="1" a="1"/>
  <c r="C154" i="1" s="1"/>
  <c r="D155" i="1"/>
  <c r="C155" i="1" s="1" a="1"/>
  <c r="C155" i="1" s="1"/>
  <c r="D156" i="1"/>
  <c r="G156" i="1" s="1"/>
  <c r="D157" i="1"/>
  <c r="C157" i="1" s="1" a="1"/>
  <c r="C157" i="1" s="1"/>
  <c r="D158" i="1"/>
  <c r="H158" i="1" s="1"/>
  <c r="D159" i="1"/>
  <c r="H159" i="1" s="1"/>
  <c r="D160" i="1"/>
  <c r="C160" i="1" s="1" a="1"/>
  <c r="C160" i="1" s="1"/>
  <c r="D161" i="1"/>
  <c r="C161" i="1" s="1" a="1"/>
  <c r="C161" i="1" s="1"/>
  <c r="D162" i="1"/>
  <c r="C162" i="1" s="1" a="1"/>
  <c r="C162" i="1" s="1"/>
  <c r="D163" i="1"/>
  <c r="C163" i="1" s="1" a="1"/>
  <c r="C163" i="1" s="1"/>
  <c r="D164" i="1"/>
  <c r="C164" i="1" s="1" a="1"/>
  <c r="C164" i="1" s="1"/>
  <c r="D165" i="1"/>
  <c r="C165" i="1" s="1" a="1"/>
  <c r="C165" i="1" s="1"/>
  <c r="D166" i="1"/>
  <c r="C166" i="1" s="1" a="1"/>
  <c r="C166" i="1" s="1"/>
  <c r="D167" i="1"/>
  <c r="G167" i="1" s="1"/>
  <c r="D168" i="1"/>
  <c r="C168" i="1" s="1" a="1"/>
  <c r="C168" i="1" s="1"/>
  <c r="D169" i="1"/>
  <c r="C169" i="1" s="1" a="1"/>
  <c r="C169" i="1" s="1"/>
  <c r="D170" i="1"/>
  <c r="E170" i="1" s="1"/>
  <c r="D171" i="1"/>
  <c r="G171" i="1" s="1"/>
  <c r="D172" i="1"/>
  <c r="C172" i="1" s="1" a="1"/>
  <c r="C172" i="1" s="1"/>
  <c r="D173" i="1"/>
  <c r="F173" i="1" s="1"/>
  <c r="D174" i="1"/>
  <c r="F174" i="1" s="1"/>
  <c r="D175" i="1"/>
  <c r="A175" i="1" s="1"/>
  <c r="D176" i="1"/>
  <c r="C176" i="1" s="1" a="1"/>
  <c r="C176" i="1" s="1"/>
  <c r="D177" i="1"/>
  <c r="C177" i="1" s="1" a="1"/>
  <c r="C177" i="1" s="1"/>
  <c r="D178" i="1"/>
  <c r="E178" i="1" s="1"/>
  <c r="D179" i="1"/>
  <c r="C179" i="1" s="1" a="1"/>
  <c r="C179" i="1" s="1"/>
  <c r="D180" i="1"/>
  <c r="H180" i="1" s="1"/>
  <c r="D181" i="1"/>
  <c r="H181" i="1" s="1"/>
  <c r="D182" i="1"/>
  <c r="C182" i="1" s="1" a="1"/>
  <c r="C182" i="1" s="1"/>
  <c r="D183" i="1"/>
  <c r="C183" i="1" s="1" a="1"/>
  <c r="C183" i="1" s="1"/>
  <c r="D184" i="1"/>
  <c r="H184" i="1" s="1"/>
  <c r="D185" i="1"/>
  <c r="C185" i="1" s="1" a="1"/>
  <c r="C185" i="1" s="1"/>
  <c r="D186" i="1"/>
  <c r="C186" i="1" s="1" a="1"/>
  <c r="C186" i="1" s="1"/>
  <c r="D187" i="1"/>
  <c r="C187" i="1" s="1" a="1"/>
  <c r="C187" i="1" s="1"/>
  <c r="D188" i="1"/>
  <c r="C188" i="1" s="1" a="1"/>
  <c r="C188" i="1" s="1"/>
  <c r="D189" i="1"/>
  <c r="D190" i="1"/>
  <c r="G190" i="1" s="1"/>
  <c r="D191" i="1"/>
  <c r="G191" i="1" s="1"/>
  <c r="D192" i="1"/>
  <c r="D193" i="1"/>
  <c r="B193" i="1" s="1"/>
  <c r="D194" i="1"/>
  <c r="B194" i="1" s="1"/>
  <c r="D195" i="1"/>
  <c r="F195" i="1" s="1"/>
  <c r="D196" i="1"/>
  <c r="H196" i="1" s="1"/>
  <c r="D197" i="1"/>
  <c r="B197" i="1" s="1"/>
  <c r="D198" i="1"/>
  <c r="D199" i="1"/>
  <c r="F199" i="1" s="1"/>
  <c r="D200" i="1"/>
  <c r="F200" i="1" s="1"/>
  <c r="D201" i="1"/>
  <c r="B201" i="1" s="1"/>
  <c r="D202" i="1"/>
  <c r="I202" i="1" s="1"/>
  <c r="D203" i="1"/>
  <c r="J203" i="1" s="1"/>
  <c r="I203" i="1"/>
  <c r="D204" i="1"/>
  <c r="B204" i="1" s="1"/>
  <c r="D205" i="1"/>
  <c r="B205" i="1" s="1"/>
  <c r="D206" i="1"/>
  <c r="I206" i="1" s="1"/>
  <c r="D207" i="1"/>
  <c r="D208" i="1"/>
  <c r="D209" i="1"/>
  <c r="E209" i="1" s="1"/>
  <c r="D210" i="1"/>
  <c r="B210" i="1" s="1"/>
  <c r="D211" i="1"/>
  <c r="G211" i="1" s="1"/>
  <c r="D212" i="1"/>
  <c r="D213" i="1"/>
  <c r="E213" i="1" s="1"/>
  <c r="D214" i="1"/>
  <c r="E214" i="1" s="1"/>
  <c r="D215" i="1"/>
  <c r="B215" i="1" s="1"/>
  <c r="D216" i="1"/>
  <c r="J216" i="1" s="1"/>
  <c r="D217" i="1"/>
  <c r="B217" i="1" s="1"/>
  <c r="D218" i="1"/>
  <c r="I218" i="1" s="1"/>
  <c r="D219" i="1"/>
  <c r="B219" i="1" s="1"/>
  <c r="D220" i="1"/>
  <c r="E220" i="1" s="1"/>
  <c r="D221" i="1"/>
  <c r="G221" i="1" s="1"/>
  <c r="D222" i="1"/>
  <c r="G222" i="1" s="1"/>
  <c r="D223" i="1"/>
  <c r="B223" i="1" s="1"/>
  <c r="D224" i="1"/>
  <c r="I224" i="1" s="1"/>
  <c r="D225" i="1"/>
  <c r="E225" i="1" s="1"/>
  <c r="D226" i="1"/>
  <c r="B226" i="1" s="1"/>
  <c r="D227" i="1"/>
  <c r="B227" i="1" s="1"/>
  <c r="D228" i="1"/>
  <c r="B228" i="1" s="1"/>
  <c r="D229" i="1"/>
  <c r="B229" i="1" s="1"/>
  <c r="D230" i="1"/>
  <c r="B230" i="1" s="1"/>
  <c r="D231" i="1"/>
  <c r="B231" i="1" s="1"/>
  <c r="I231" i="1"/>
  <c r="D232" i="1"/>
  <c r="B232" i="1" s="1"/>
  <c r="D233" i="1"/>
  <c r="I233" i="1" s="1"/>
  <c r="D234" i="1"/>
  <c r="B234" i="1" s="1"/>
  <c r="D235" i="1"/>
  <c r="B235" i="1" s="1"/>
  <c r="D236" i="1"/>
  <c r="I236" i="1" s="1"/>
  <c r="D237" i="1"/>
  <c r="H237" i="1" s="1"/>
  <c r="D238" i="1"/>
  <c r="H238" i="1" s="1"/>
  <c r="D239" i="1"/>
  <c r="F239" i="1" s="1"/>
  <c r="D240" i="1"/>
  <c r="B240" i="1" s="1"/>
  <c r="D241" i="1"/>
  <c r="D242" i="1"/>
  <c r="E242" i="1" s="1"/>
  <c r="D243" i="1"/>
  <c r="F243" i="1" s="1"/>
  <c r="D244" i="1"/>
  <c r="E244" i="1" s="1"/>
  <c r="D245" i="1"/>
  <c r="I245" i="1" s="1"/>
  <c r="D246" i="1"/>
  <c r="B246" i="1" s="1"/>
  <c r="D247" i="1"/>
  <c r="J247" i="1" s="1"/>
  <c r="D248" i="1"/>
  <c r="I248" i="1" s="1"/>
  <c r="D249" i="1"/>
  <c r="I249" i="1" s="1"/>
  <c r="D250" i="1"/>
  <c r="D251" i="1"/>
  <c r="E251" i="1" s="1"/>
  <c r="D252" i="1"/>
  <c r="E252" i="1" s="1"/>
  <c r="D253" i="1"/>
  <c r="B253" i="1" s="1"/>
  <c r="D254" i="1"/>
  <c r="I254" i="1" s="1"/>
  <c r="J254" i="1"/>
  <c r="D255" i="1"/>
  <c r="G255" i="1" s="1"/>
  <c r="D256" i="1"/>
  <c r="G256" i="1" s="1"/>
  <c r="D257" i="1"/>
  <c r="G257" i="1" s="1"/>
  <c r="D258" i="1"/>
  <c r="G258" i="1" s="1"/>
  <c r="D259" i="1"/>
  <c r="E259" i="1" s="1"/>
  <c r="D260" i="1"/>
  <c r="A260" i="1" s="1"/>
  <c r="D261" i="1"/>
  <c r="J261" i="1" s="1"/>
  <c r="D262" i="1"/>
  <c r="B262" i="1" s="1"/>
  <c r="D263" i="1"/>
  <c r="B263" i="1" s="1"/>
  <c r="D264" i="1"/>
  <c r="J264" i="1" s="1"/>
  <c r="D265" i="1"/>
  <c r="J265" i="1" s="1"/>
  <c r="D266" i="1"/>
  <c r="D267" i="1"/>
  <c r="I267" i="1" s="1"/>
  <c r="D268" i="1"/>
  <c r="F268" i="1" s="1"/>
  <c r="D269" i="1"/>
  <c r="B269" i="1" s="1"/>
  <c r="D270" i="1"/>
  <c r="F270" i="1" s="1"/>
  <c r="D271" i="1"/>
  <c r="G271" i="1" s="1"/>
  <c r="D272" i="1"/>
  <c r="G272" i="1" s="1"/>
  <c r="D273" i="1"/>
  <c r="G273" i="1" s="1"/>
  <c r="D274" i="1"/>
  <c r="E274" i="1" s="1"/>
  <c r="D275" i="1"/>
  <c r="I275" i="1" s="1"/>
  <c r="D276" i="1"/>
  <c r="D277" i="1"/>
  <c r="B277" i="1" s="1"/>
  <c r="D278" i="1"/>
  <c r="D279" i="1"/>
  <c r="F279" i="1" s="1"/>
  <c r="D280" i="1"/>
  <c r="F280" i="1" s="1"/>
  <c r="D281" i="1"/>
  <c r="A281" i="1" s="1"/>
  <c r="D282" i="1"/>
  <c r="J282" i="1" s="1"/>
  <c r="D283" i="1"/>
  <c r="B283" i="1" s="1"/>
  <c r="D284" i="1"/>
  <c r="G284" i="1" s="1"/>
  <c r="D285" i="1"/>
  <c r="G285" i="1" s="1"/>
  <c r="D286" i="1"/>
  <c r="F286" i="1" s="1"/>
  <c r="D287" i="1"/>
  <c r="E287" i="1" s="1"/>
  <c r="D288" i="1"/>
  <c r="J288" i="1" s="1"/>
  <c r="D289" i="1"/>
  <c r="H289" i="1" s="1"/>
  <c r="D290" i="1"/>
  <c r="I290" i="1" s="1"/>
  <c r="D291" i="1"/>
  <c r="J291" i="1" s="1"/>
  <c r="D292" i="1"/>
  <c r="H292" i="1" s="1"/>
  <c r="D293" i="1"/>
  <c r="I293" i="1" s="1"/>
  <c r="D294" i="1"/>
  <c r="B294" i="1" s="1"/>
  <c r="D295" i="1"/>
  <c r="F295" i="1" s="1"/>
  <c r="D296" i="1"/>
  <c r="I296" i="1" s="1"/>
  <c r="D297" i="1"/>
  <c r="H297" i="1" s="1"/>
  <c r="D298" i="1"/>
  <c r="B298" i="1" s="1"/>
  <c r="D299" i="1"/>
  <c r="D300" i="1"/>
  <c r="G300" i="1" s="1"/>
  <c r="D301" i="1"/>
  <c r="B301" i="1" s="1"/>
  <c r="D302" i="1"/>
  <c r="B302" i="1" s="1"/>
  <c r="D303" i="1"/>
  <c r="I303" i="1" s="1"/>
  <c r="D304" i="1"/>
  <c r="B304" i="1" s="1"/>
  <c r="D305" i="1"/>
  <c r="F305" i="1" s="1"/>
  <c r="D306" i="1"/>
  <c r="F306" i="1" s="1"/>
  <c r="D307" i="1"/>
  <c r="I307" i="1" s="1"/>
  <c r="D308" i="1"/>
  <c r="G308" i="1" s="1"/>
  <c r="D309" i="1"/>
  <c r="B309" i="1" s="1"/>
  <c r="D310" i="1"/>
  <c r="J310" i="1" s="1"/>
  <c r="D311" i="1"/>
  <c r="A311" i="1" s="1"/>
  <c r="D312" i="1"/>
  <c r="H312" i="1" s="1"/>
  <c r="D313" i="1"/>
  <c r="G313" i="1" s="1"/>
  <c r="D314" i="1"/>
  <c r="G314" i="1" s="1"/>
  <c r="D315" i="1"/>
  <c r="G315" i="1" s="1"/>
  <c r="D316" i="1"/>
  <c r="B316" i="1" s="1"/>
  <c r="D317" i="1"/>
  <c r="B317" i="1" s="1"/>
  <c r="D318" i="1"/>
  <c r="J318" i="1" s="1"/>
  <c r="D319" i="1"/>
  <c r="B319" i="1" s="1"/>
  <c r="D320" i="1"/>
  <c r="B320" i="1" s="1"/>
  <c r="D321" i="1"/>
  <c r="B321" i="1" s="1"/>
  <c r="D322" i="1"/>
  <c r="E322" i="1" s="1"/>
  <c r="D323" i="1"/>
  <c r="E323" i="1" s="1"/>
  <c r="D324" i="1"/>
  <c r="E324" i="1" s="1"/>
  <c r="D325" i="1"/>
  <c r="E325" i="1" s="1"/>
  <c r="D326" i="1"/>
  <c r="D327" i="1"/>
  <c r="G327" i="1" s="1"/>
  <c r="D328" i="1"/>
  <c r="A328" i="1" s="1"/>
  <c r="I328" i="1"/>
  <c r="D329" i="1"/>
  <c r="J329" i="1" s="1"/>
  <c r="D330" i="1"/>
  <c r="D331" i="1"/>
  <c r="E331" i="1" s="1"/>
  <c r="D332" i="1"/>
  <c r="E332" i="1" s="1"/>
  <c r="D333" i="1"/>
  <c r="B333" i="1" s="1"/>
  <c r="D334" i="1"/>
  <c r="H334" i="1" s="1"/>
  <c r="D335" i="1"/>
  <c r="D336" i="1"/>
  <c r="D337" i="1"/>
  <c r="J337" i="1" s="1"/>
  <c r="D338" i="1"/>
  <c r="B338" i="1" s="1"/>
  <c r="D339" i="1"/>
  <c r="B339" i="1" s="1"/>
  <c r="D340" i="1"/>
  <c r="J340" i="1" s="1"/>
  <c r="D341" i="1"/>
  <c r="I341" i="1" s="1"/>
  <c r="D342" i="1"/>
  <c r="B342" i="1" s="1"/>
  <c r="D343" i="1"/>
  <c r="G343" i="1" s="1"/>
  <c r="D344" i="1"/>
  <c r="B344" i="1" s="1"/>
  <c r="I344" i="1"/>
  <c r="D345" i="1"/>
  <c r="D346" i="1"/>
  <c r="I346" i="1" s="1"/>
  <c r="D347" i="1"/>
  <c r="G347" i="1" s="1"/>
  <c r="D348" i="1"/>
  <c r="E348" i="1" s="1"/>
  <c r="D349" i="1"/>
  <c r="E349" i="1" s="1"/>
  <c r="D350" i="1"/>
  <c r="F350" i="1" s="1"/>
  <c r="D351" i="1"/>
  <c r="J351" i="1" s="1"/>
  <c r="D352" i="1"/>
  <c r="I352" i="1" s="1"/>
  <c r="D353" i="1"/>
  <c r="I353" i="1" s="1"/>
  <c r="D354" i="1"/>
  <c r="J354" i="1" s="1"/>
  <c r="D355" i="1"/>
  <c r="J355" i="1" s="1"/>
  <c r="D356" i="1"/>
  <c r="H356" i="1" s="1"/>
  <c r="D357" i="1"/>
  <c r="D358" i="1"/>
  <c r="G358" i="1" s="1"/>
  <c r="D359" i="1"/>
  <c r="J359" i="1" s="1"/>
  <c r="D360" i="1"/>
  <c r="B360" i="1" s="1"/>
  <c r="D361" i="1"/>
  <c r="B361" i="1" s="1"/>
  <c r="D362" i="1"/>
  <c r="E362" i="1" s="1"/>
  <c r="D363" i="1"/>
  <c r="I363" i="1" s="1"/>
  <c r="D364" i="1"/>
  <c r="D365" i="1"/>
  <c r="D366" i="1"/>
  <c r="A366" i="1" s="1"/>
  <c r="D367" i="1"/>
  <c r="E367" i="1" s="1"/>
  <c r="D368" i="1"/>
  <c r="D369" i="1"/>
  <c r="G369" i="1" s="1"/>
  <c r="D370" i="1"/>
  <c r="F370" i="1" s="1"/>
  <c r="D371" i="1"/>
  <c r="A371" i="1" s="1"/>
  <c r="D372" i="1"/>
  <c r="B372" i="1" s="1"/>
  <c r="D373" i="1"/>
  <c r="B373" i="1" s="1"/>
  <c r="D374" i="1"/>
  <c r="J374" i="1" s="1"/>
  <c r="I374" i="1"/>
  <c r="D375" i="1"/>
  <c r="B375" i="1" s="1"/>
  <c r="D376" i="1"/>
  <c r="B376" i="1" s="1"/>
  <c r="D377" i="1"/>
  <c r="J377" i="1" s="1"/>
  <c r="D378" i="1"/>
  <c r="B378" i="1" s="1"/>
  <c r="D379" i="1"/>
  <c r="I379" i="1" s="1"/>
  <c r="D380" i="1"/>
  <c r="D381" i="1"/>
  <c r="E381" i="1" s="1"/>
  <c r="D382" i="1"/>
  <c r="I382" i="1" s="1"/>
  <c r="D383" i="1"/>
  <c r="F383" i="1" s="1"/>
  <c r="D384" i="1"/>
  <c r="B384" i="1" s="1"/>
  <c r="D385" i="1"/>
  <c r="G385" i="1" s="1"/>
  <c r="D386" i="1"/>
  <c r="F386" i="1" s="1"/>
  <c r="D387" i="1"/>
  <c r="D388" i="1"/>
  <c r="E388" i="1" s="1"/>
  <c r="D389" i="1"/>
  <c r="D390" i="1"/>
  <c r="I390" i="1" s="1"/>
  <c r="D391" i="1"/>
  <c r="H391" i="1" s="1"/>
  <c r="D392" i="1"/>
  <c r="H392" i="1" s="1"/>
  <c r="D393" i="1"/>
  <c r="F393" i="1" s="1"/>
  <c r="D394" i="1"/>
  <c r="A394" i="1" s="1"/>
  <c r="D395" i="1"/>
  <c r="A395" i="1" s="1"/>
  <c r="D396" i="1"/>
  <c r="H396" i="1" s="1"/>
  <c r="D397" i="1"/>
  <c r="I397" i="1" s="1"/>
  <c r="D398" i="1"/>
  <c r="B398" i="1" s="1"/>
  <c r="D399" i="1"/>
  <c r="G399" i="1" s="1"/>
  <c r="D400" i="1"/>
  <c r="D401" i="1"/>
  <c r="G401" i="1" s="1"/>
  <c r="D402" i="1"/>
  <c r="J402" i="1" s="1"/>
  <c r="D403" i="1"/>
  <c r="J403" i="1" s="1"/>
  <c r="D404" i="1"/>
  <c r="B404" i="1" s="1"/>
  <c r="D405" i="1"/>
  <c r="D406" i="1"/>
  <c r="H406" i="1" s="1"/>
  <c r="D407" i="1"/>
  <c r="I407" i="1" s="1"/>
  <c r="D408" i="1"/>
  <c r="D409" i="1"/>
  <c r="E409" i="1" s="1"/>
  <c r="D410" i="1"/>
  <c r="B410" i="1" s="1"/>
  <c r="D411" i="1"/>
  <c r="I411" i="1" s="1"/>
  <c r="D412" i="1"/>
  <c r="J412" i="1" s="1"/>
  <c r="D413" i="1"/>
  <c r="B413" i="1" s="1"/>
  <c r="D414" i="1"/>
  <c r="B414" i="1" s="1"/>
  <c r="D415" i="1"/>
  <c r="F415" i="1" s="1"/>
  <c r="D416" i="1"/>
  <c r="I416" i="1" s="1"/>
  <c r="D417" i="1"/>
  <c r="I417" i="1" s="1"/>
  <c r="D418" i="1"/>
  <c r="G418" i="1" s="1"/>
  <c r="D419" i="1"/>
  <c r="G419" i="1" s="1"/>
  <c r="D420" i="1"/>
  <c r="A420" i="1" s="1"/>
  <c r="D421" i="1"/>
  <c r="B421" i="1" s="1"/>
  <c r="D422" i="1"/>
  <c r="J422" i="1" s="1"/>
  <c r="D423" i="1"/>
  <c r="B423" i="1" s="1"/>
  <c r="D424" i="1"/>
  <c r="H424" i="1" s="1"/>
  <c r="D425" i="1"/>
  <c r="G425" i="1" s="1"/>
  <c r="I425" i="1"/>
  <c r="D426" i="1"/>
  <c r="J426" i="1" s="1"/>
  <c r="D427" i="1"/>
  <c r="B427" i="1" s="1"/>
  <c r="D428" i="1"/>
  <c r="H428" i="1" s="1"/>
  <c r="D429" i="1"/>
  <c r="H429" i="1" s="1"/>
  <c r="D430" i="1"/>
  <c r="J430" i="1" s="1"/>
  <c r="D431" i="1"/>
  <c r="H431" i="1" s="1"/>
  <c r="D432" i="1"/>
  <c r="D433" i="1"/>
  <c r="H433" i="1" s="1"/>
  <c r="D434" i="1"/>
  <c r="H434" i="1" s="1"/>
  <c r="I434" i="1"/>
  <c r="D435" i="1"/>
  <c r="A435" i="1" s="1"/>
  <c r="D436" i="1"/>
  <c r="J436" i="1" s="1"/>
  <c r="D437" i="1"/>
  <c r="B437" i="1" s="1"/>
  <c r="D438" i="1"/>
  <c r="H438" i="1" s="1"/>
  <c r="D439" i="1"/>
  <c r="D440" i="1"/>
  <c r="G440" i="1" s="1"/>
  <c r="D441" i="1"/>
  <c r="G441" i="1" s="1"/>
  <c r="I441" i="1"/>
  <c r="D442" i="1"/>
  <c r="B442" i="1" s="1"/>
  <c r="D443" i="1"/>
  <c r="H443" i="1" s="1"/>
  <c r="D444" i="1"/>
  <c r="I444" i="1" s="1"/>
  <c r="D445" i="1"/>
  <c r="F445" i="1" s="1"/>
  <c r="D446" i="1"/>
  <c r="B446" i="1" s="1"/>
  <c r="D447" i="1"/>
  <c r="I447" i="1" s="1"/>
  <c r="D448" i="1"/>
  <c r="G448" i="1" s="1"/>
  <c r="D449" i="1"/>
  <c r="I449" i="1" s="1"/>
  <c r="D450" i="1"/>
  <c r="F450" i="1" s="1"/>
  <c r="D451" i="1"/>
  <c r="I451" i="1" s="1"/>
  <c r="D452" i="1"/>
  <c r="F452" i="1" s="1"/>
  <c r="D453" i="1"/>
  <c r="I453" i="1" s="1"/>
  <c r="D454" i="1"/>
  <c r="E454" i="1" s="1"/>
  <c r="D455" i="1"/>
  <c r="E455" i="1" s="1"/>
  <c r="D456" i="1"/>
  <c r="D457" i="1"/>
  <c r="B457" i="1" s="1"/>
  <c r="D458" i="1"/>
  <c r="D459" i="1"/>
  <c r="F459" i="1" s="1"/>
  <c r="D460" i="1"/>
  <c r="F460" i="1" s="1"/>
  <c r="D461" i="1"/>
  <c r="F461" i="1" s="1"/>
  <c r="D462" i="1"/>
  <c r="D463" i="1"/>
  <c r="B463" i="1" s="1"/>
  <c r="D464" i="1"/>
  <c r="D465" i="1"/>
  <c r="H465" i="1" s="1"/>
  <c r="D466" i="1"/>
  <c r="H466" i="1" s="1"/>
  <c r="D467" i="1"/>
  <c r="D468" i="1"/>
  <c r="G468" i="1" s="1"/>
  <c r="D469" i="1"/>
  <c r="B469" i="1" s="1"/>
  <c r="D470" i="1"/>
  <c r="A470" i="1" s="1"/>
  <c r="D471" i="1"/>
  <c r="J471" i="1" s="1"/>
  <c r="D472" i="1"/>
  <c r="B472" i="1" s="1"/>
  <c r="D473" i="1"/>
  <c r="E473" i="1" s="1"/>
  <c r="D474" i="1"/>
  <c r="I474" i="1" s="1"/>
  <c r="D475" i="1"/>
  <c r="D476" i="1"/>
  <c r="I476" i="1" s="1"/>
  <c r="J476" i="1"/>
  <c r="D477" i="1"/>
  <c r="A477" i="1" s="1"/>
  <c r="D478" i="1"/>
  <c r="D479" i="1"/>
  <c r="D480" i="1"/>
  <c r="D481" i="1"/>
  <c r="E481" i="1" s="1"/>
  <c r="D482" i="1"/>
  <c r="A482" i="1" s="1"/>
  <c r="D483" i="1"/>
  <c r="B483" i="1" s="1"/>
  <c r="D484" i="1"/>
  <c r="E484" i="1" s="1"/>
  <c r="D485" i="1"/>
  <c r="I485" i="1" s="1"/>
  <c r="D486" i="1"/>
  <c r="I486" i="1" s="1"/>
  <c r="D487" i="1"/>
  <c r="I487" i="1" s="1"/>
  <c r="D488" i="1"/>
  <c r="I488" i="1" s="1"/>
  <c r="D489" i="1"/>
  <c r="A489" i="1" s="1"/>
  <c r="D490" i="1"/>
  <c r="E490" i="1" s="1"/>
  <c r="D491" i="1"/>
  <c r="B491" i="1" s="1"/>
  <c r="D492" i="1"/>
  <c r="I492" i="1" s="1"/>
  <c r="D493" i="1"/>
  <c r="F493" i="1" s="1"/>
  <c r="D494" i="1"/>
  <c r="B494" i="1" s="1"/>
  <c r="D495" i="1"/>
  <c r="F495" i="1" s="1"/>
  <c r="D496" i="1"/>
  <c r="F496" i="1" s="1"/>
  <c r="D497" i="1"/>
  <c r="G497" i="1" s="1"/>
  <c r="D498" i="1"/>
  <c r="J498" i="1" s="1"/>
  <c r="D499" i="1"/>
  <c r="F499" i="1" s="1"/>
  <c r="D500" i="1"/>
  <c r="I500" i="1" s="1"/>
  <c r="B2" i="4" a="1"/>
  <c r="B2" i="4" s="1"/>
  <c r="B1" i="2"/>
  <c r="E2" i="6" a="1"/>
  <c r="C174" i="1" l="1" a="1"/>
  <c r="C174" i="1" s="1"/>
  <c r="C150" i="1" a="1"/>
  <c r="C150" i="1" s="1"/>
  <c r="C138" i="1" a="1"/>
  <c r="C138" i="1" s="1"/>
  <c r="C54" i="1" a="1"/>
  <c r="C54" i="1" s="1"/>
  <c r="C17" i="1" a="1"/>
  <c r="C17" i="1" s="1"/>
  <c r="C173" i="1" a="1"/>
  <c r="C173" i="1" s="1"/>
  <c r="C149" i="1" a="1"/>
  <c r="C149" i="1" s="1"/>
  <c r="C137" i="1" a="1"/>
  <c r="C137" i="1" s="1"/>
  <c r="C89" i="1" a="1"/>
  <c r="C89" i="1" s="1"/>
  <c r="C77" i="1" a="1"/>
  <c r="C77" i="1" s="1"/>
  <c r="E2" i="1"/>
  <c r="C184" i="1" a="1"/>
  <c r="C184" i="1" s="1"/>
  <c r="C148" i="1" a="1"/>
  <c r="C148" i="1" s="1"/>
  <c r="C105" i="1" a="1"/>
  <c r="C105" i="1" s="1"/>
  <c r="C88" i="1" a="1"/>
  <c r="C88" i="1" s="1"/>
  <c r="C39" i="1" a="1"/>
  <c r="C39" i="1" s="1"/>
  <c r="C15" i="1" a="1"/>
  <c r="C15" i="1" s="1"/>
  <c r="C171" i="1" a="1"/>
  <c r="C171" i="1" s="1"/>
  <c r="C159" i="1" a="1"/>
  <c r="C159" i="1" s="1"/>
  <c r="C135" i="1" a="1"/>
  <c r="C135" i="1" s="1"/>
  <c r="C103" i="1" a="1"/>
  <c r="C103" i="1" s="1"/>
  <c r="C63" i="1" a="1"/>
  <c r="C63" i="1" s="1"/>
  <c r="C50" i="1" a="1"/>
  <c r="C50" i="1" s="1"/>
  <c r="C38" i="1" a="1"/>
  <c r="C38" i="1" s="1"/>
  <c r="C26" i="1" a="1"/>
  <c r="C26" i="1" s="1"/>
  <c r="C170" i="1" a="1"/>
  <c r="C170" i="1" s="1"/>
  <c r="C158" i="1" a="1"/>
  <c r="C158" i="1" s="1"/>
  <c r="C146" i="1" a="1"/>
  <c r="C146" i="1" s="1"/>
  <c r="C134" i="1" a="1"/>
  <c r="C134" i="1" s="1"/>
  <c r="C121" i="1" a="1"/>
  <c r="C121" i="1" s="1"/>
  <c r="C102" i="1" a="1"/>
  <c r="C102" i="1" s="1"/>
  <c r="C86" i="1" a="1"/>
  <c r="C86" i="1" s="1"/>
  <c r="C74" i="1" a="1"/>
  <c r="C74" i="1" s="1"/>
  <c r="C49" i="1" a="1"/>
  <c r="C49" i="1" s="1"/>
  <c r="C181" i="1" a="1"/>
  <c r="C181" i="1" s="1"/>
  <c r="C145" i="1" a="1"/>
  <c r="C145" i="1" s="1"/>
  <c r="C133" i="1" a="1"/>
  <c r="C133" i="1" s="1"/>
  <c r="C85" i="1" a="1"/>
  <c r="C85" i="1" s="1"/>
  <c r="C61" i="1" a="1"/>
  <c r="C61" i="1" s="1"/>
  <c r="C48" i="1" a="1"/>
  <c r="C48" i="1" s="1"/>
  <c r="C36" i="1" a="1"/>
  <c r="C36" i="1" s="1"/>
  <c r="C24" i="1" a="1"/>
  <c r="C24" i="1" s="1"/>
  <c r="C9" i="1" a="1"/>
  <c r="C9" i="1" s="1"/>
  <c r="C180" i="1" a="1"/>
  <c r="C180" i="1" s="1"/>
  <c r="C156" i="1" a="1"/>
  <c r="C156" i="1" s="1"/>
  <c r="C131" i="1" a="1"/>
  <c r="C131" i="1" s="1"/>
  <c r="C119" i="1" a="1"/>
  <c r="C119" i="1" s="1"/>
  <c r="C100" i="1" a="1"/>
  <c r="C100" i="1" s="1"/>
  <c r="C84" i="1" a="1"/>
  <c r="C84" i="1" s="1"/>
  <c r="C60" i="1" a="1"/>
  <c r="C60" i="1" s="1"/>
  <c r="C47" i="1" a="1"/>
  <c r="C47" i="1" s="1"/>
  <c r="C8" i="1" a="1"/>
  <c r="C8" i="1" s="1"/>
  <c r="C167" i="1" a="1"/>
  <c r="C167" i="1" s="1"/>
  <c r="C143" i="1" a="1"/>
  <c r="C143" i="1" s="1"/>
  <c r="C130" i="1" a="1"/>
  <c r="C130" i="1" s="1"/>
  <c r="C118" i="1" a="1"/>
  <c r="C118" i="1" s="1"/>
  <c r="C99" i="1" a="1"/>
  <c r="C99" i="1" s="1"/>
  <c r="C83" i="1" a="1"/>
  <c r="C83" i="1" s="1"/>
  <c r="C71" i="1" a="1"/>
  <c r="C71" i="1" s="1"/>
  <c r="C59" i="1" a="1"/>
  <c r="C59" i="1" s="1"/>
  <c r="C46" i="1" a="1"/>
  <c r="C46" i="1" s="1"/>
  <c r="C34" i="1" a="1"/>
  <c r="C34" i="1" s="1"/>
  <c r="C22" i="1" a="1"/>
  <c r="C22" i="1" s="1"/>
  <c r="C7" i="1" a="1"/>
  <c r="C7" i="1" s="1"/>
  <c r="C178" i="1" a="1"/>
  <c r="C178" i="1" s="1"/>
  <c r="C142" i="1" a="1"/>
  <c r="C142" i="1" s="1"/>
  <c r="C97" i="1" a="1"/>
  <c r="C97" i="1" s="1"/>
  <c r="C58" i="1" a="1"/>
  <c r="C58" i="1" s="1"/>
  <c r="C45" i="1" a="1"/>
  <c r="C45" i="1" s="1"/>
  <c r="C6" i="1" a="1"/>
  <c r="C6" i="1" s="1"/>
  <c r="C128" i="1" a="1"/>
  <c r="C128" i="1" s="1"/>
  <c r="C96" i="1" a="1"/>
  <c r="C96" i="1" s="1"/>
  <c r="C5" i="1" a="1"/>
  <c r="C5" i="1" s="1"/>
  <c r="C56" i="1" a="1"/>
  <c r="C56" i="1" s="1"/>
  <c r="C19" i="1" a="1"/>
  <c r="C19" i="1" s="1"/>
  <c r="C4" i="1" a="1"/>
  <c r="C4" i="1" s="1"/>
  <c r="C175" i="1" a="1"/>
  <c r="C175" i="1" s="1"/>
  <c r="C151" i="1" a="1"/>
  <c r="C151" i="1" s="1"/>
  <c r="C139" i="1" a="1"/>
  <c r="C139" i="1" s="1"/>
  <c r="C126" i="1" a="1"/>
  <c r="C126" i="1" s="1"/>
  <c r="C93" i="1" a="1"/>
  <c r="C93" i="1" s="1"/>
  <c r="C55" i="1" a="1"/>
  <c r="C55" i="1" s="1"/>
  <c r="C3" i="1" a="1"/>
  <c r="C3" i="1" s="1"/>
  <c r="F2" i="4"/>
  <c r="C104" i="1" a="1"/>
  <c r="C104" i="1" s="1"/>
  <c r="C107" i="1" a="1"/>
  <c r="C107" i="1" s="1"/>
  <c r="C52" i="1" a="1"/>
  <c r="C52" i="1" s="1"/>
  <c r="C94" i="1" a="1"/>
  <c r="C94" i="1" s="1"/>
  <c r="C106" i="1" a="1"/>
  <c r="C106" i="1" s="1"/>
  <c r="C114" i="1" a="1"/>
  <c r="C114" i="1" s="1"/>
  <c r="C190" i="1" a="1"/>
  <c r="C190" i="1" s="1"/>
  <c r="C91" i="1" a="1"/>
  <c r="C91" i="1" s="1"/>
  <c r="C92" i="1" a="1"/>
  <c r="C92" i="1" s="1"/>
  <c r="C10" i="1" a="1"/>
  <c r="C10" i="1" s="1"/>
  <c r="C132" i="1" a="1"/>
  <c r="C132" i="1" s="1"/>
  <c r="C11" i="1" a="1"/>
  <c r="C11" i="1" s="1"/>
  <c r="C108" i="1" a="1"/>
  <c r="C108" i="1" s="1"/>
  <c r="C98" i="1" a="1"/>
  <c r="C98" i="1" s="1"/>
  <c r="C110" i="1" a="1"/>
  <c r="C110" i="1" s="1"/>
  <c r="C109" i="1" a="1"/>
  <c r="C109" i="1" s="1"/>
  <c r="C12" i="1" a="1"/>
  <c r="C12" i="1" s="1"/>
  <c r="B177" i="1"/>
  <c r="B187" i="1"/>
  <c r="B163" i="1"/>
  <c r="B115" i="1"/>
  <c r="B79" i="1"/>
  <c r="B43" i="1"/>
  <c r="B31" i="1"/>
  <c r="B165" i="1"/>
  <c r="B186" i="1"/>
  <c r="J186" i="1" s="1"/>
  <c r="B162" i="1"/>
  <c r="J162" i="1" s="1"/>
  <c r="B90" i="1"/>
  <c r="I90" i="1" s="1"/>
  <c r="B78" i="1"/>
  <c r="I78" i="1" s="1"/>
  <c r="B42" i="1"/>
  <c r="B30" i="1"/>
  <c r="B18" i="1"/>
  <c r="B161" i="1"/>
  <c r="B125" i="1"/>
  <c r="B113" i="1"/>
  <c r="J113" i="1" s="1"/>
  <c r="B101" i="1"/>
  <c r="B65" i="1"/>
  <c r="B53" i="1"/>
  <c r="J53" i="1" s="1"/>
  <c r="B41" i="1"/>
  <c r="I41" i="1" s="1"/>
  <c r="B29" i="1"/>
  <c r="J29" i="1" s="1"/>
  <c r="B160" i="1"/>
  <c r="I160" i="1" s="1"/>
  <c r="B136" i="1"/>
  <c r="B124" i="1"/>
  <c r="B112" i="1"/>
  <c r="I112" i="1" s="1"/>
  <c r="B76" i="1"/>
  <c r="B64" i="1"/>
  <c r="B52" i="1"/>
  <c r="I52" i="1" s="1"/>
  <c r="B185" i="1"/>
  <c r="B183" i="1"/>
  <c r="B147" i="1"/>
  <c r="J147" i="1" s="1"/>
  <c r="B123" i="1"/>
  <c r="J123" i="1" s="1"/>
  <c r="B87" i="1"/>
  <c r="J87" i="1" s="1"/>
  <c r="B51" i="1"/>
  <c r="J51" i="1" s="1"/>
  <c r="B14" i="1"/>
  <c r="B13" i="1"/>
  <c r="B62" i="1"/>
  <c r="J62" i="1" s="1"/>
  <c r="B25" i="1"/>
  <c r="B168" i="1"/>
  <c r="B144" i="1"/>
  <c r="J144" i="1" s="1"/>
  <c r="B120" i="1"/>
  <c r="B72" i="1"/>
  <c r="B12" i="1"/>
  <c r="J12" i="1" s="1"/>
  <c r="B122" i="1"/>
  <c r="I122" i="1" s="1"/>
  <c r="B169" i="1"/>
  <c r="I169" i="1" s="1"/>
  <c r="B73" i="1"/>
  <c r="I73" i="1" s="1"/>
  <c r="B179" i="1"/>
  <c r="B155" i="1"/>
  <c r="B95" i="1"/>
  <c r="I95" i="1" s="1"/>
  <c r="B11" i="1"/>
  <c r="B182" i="1"/>
  <c r="B157" i="1"/>
  <c r="J157" i="1" s="1"/>
  <c r="B37" i="1"/>
  <c r="B166" i="1"/>
  <c r="I166" i="1" s="1"/>
  <c r="B154" i="1"/>
  <c r="I154" i="1" s="1"/>
  <c r="B94" i="1"/>
  <c r="I94" i="1" s="1"/>
  <c r="B189" i="1"/>
  <c r="J189" i="1" s="1"/>
  <c r="B141" i="1"/>
  <c r="J141" i="1" s="1"/>
  <c r="B117" i="1"/>
  <c r="B57" i="1"/>
  <c r="B33" i="1"/>
  <c r="I33" i="1" s="1"/>
  <c r="B21" i="1"/>
  <c r="B153" i="1"/>
  <c r="B129" i="1"/>
  <c r="I129" i="1" s="1"/>
  <c r="B81" i="1"/>
  <c r="B188" i="1"/>
  <c r="J188" i="1" s="1"/>
  <c r="B164" i="1"/>
  <c r="B140" i="1"/>
  <c r="I140" i="1" s="1"/>
  <c r="B116" i="1"/>
  <c r="J116" i="1" s="1"/>
  <c r="B104" i="1"/>
  <c r="J104" i="1" s="1"/>
  <c r="B80" i="1"/>
  <c r="B44" i="1"/>
  <c r="B32" i="1"/>
  <c r="J32" i="1" s="1"/>
  <c r="B20" i="1"/>
  <c r="B10" i="1"/>
  <c r="J444" i="1"/>
  <c r="J488" i="1"/>
  <c r="J466" i="1"/>
  <c r="E29" i="1"/>
  <c r="I497" i="1"/>
  <c r="I454" i="1"/>
  <c r="I276" i="1"/>
  <c r="I475" i="1"/>
  <c r="I321" i="1"/>
  <c r="I430" i="1"/>
  <c r="I340" i="1"/>
  <c r="I360" i="1"/>
  <c r="J225" i="1"/>
  <c r="J379" i="1"/>
  <c r="I310" i="1"/>
  <c r="E333" i="1"/>
  <c r="E224" i="1"/>
  <c r="E204" i="1"/>
  <c r="E478" i="1"/>
  <c r="E430" i="1"/>
  <c r="E406" i="1"/>
  <c r="E382" i="1"/>
  <c r="E358" i="1"/>
  <c r="E334" i="1"/>
  <c r="E310" i="1"/>
  <c r="E286" i="1"/>
  <c r="E262" i="1"/>
  <c r="E238" i="1"/>
  <c r="E477" i="1"/>
  <c r="E453" i="1"/>
  <c r="E429" i="1"/>
  <c r="E405" i="1"/>
  <c r="E357" i="1"/>
  <c r="E309" i="1"/>
  <c r="E285" i="1"/>
  <c r="E261" i="1"/>
  <c r="E237" i="1"/>
  <c r="E500" i="1"/>
  <c r="E476" i="1"/>
  <c r="E452" i="1"/>
  <c r="E428" i="1"/>
  <c r="E404" i="1"/>
  <c r="E380" i="1"/>
  <c r="E356" i="1"/>
  <c r="E308" i="1"/>
  <c r="E284" i="1"/>
  <c r="E260" i="1"/>
  <c r="E236" i="1"/>
  <c r="E212" i="1"/>
  <c r="E499" i="1"/>
  <c r="E475" i="1"/>
  <c r="E451" i="1"/>
  <c r="E427" i="1"/>
  <c r="E403" i="1"/>
  <c r="E379" i="1"/>
  <c r="E355" i="1"/>
  <c r="E307" i="1"/>
  <c r="E283" i="1"/>
  <c r="E235" i="1"/>
  <c r="E211" i="1"/>
  <c r="E498" i="1"/>
  <c r="E474" i="1"/>
  <c r="E450" i="1"/>
  <c r="E426" i="1"/>
  <c r="E402" i="1"/>
  <c r="E378" i="1"/>
  <c r="E354" i="1"/>
  <c r="E330" i="1"/>
  <c r="E306" i="1"/>
  <c r="E282" i="1"/>
  <c r="E258" i="1"/>
  <c r="E234" i="1"/>
  <c r="E210" i="1"/>
  <c r="E497" i="1"/>
  <c r="E449" i="1"/>
  <c r="E425" i="1"/>
  <c r="E401" i="1"/>
  <c r="E377" i="1"/>
  <c r="E353" i="1"/>
  <c r="E329" i="1"/>
  <c r="E305" i="1"/>
  <c r="E281" i="1"/>
  <c r="E257" i="1"/>
  <c r="E233" i="1"/>
  <c r="E496" i="1"/>
  <c r="E472" i="1"/>
  <c r="E448" i="1"/>
  <c r="E424" i="1"/>
  <c r="E400" i="1"/>
  <c r="E376" i="1"/>
  <c r="E352" i="1"/>
  <c r="E328" i="1"/>
  <c r="E304" i="1"/>
  <c r="E280" i="1"/>
  <c r="E256" i="1"/>
  <c r="E232" i="1"/>
  <c r="E208" i="1"/>
  <c r="E495" i="1"/>
  <c r="E471" i="1"/>
  <c r="E447" i="1"/>
  <c r="E423" i="1"/>
  <c r="E399" i="1"/>
  <c r="E375" i="1"/>
  <c r="E351" i="1"/>
  <c r="E327" i="1"/>
  <c r="E303" i="1"/>
  <c r="E279" i="1"/>
  <c r="E255" i="1"/>
  <c r="E231" i="1"/>
  <c r="E207" i="1"/>
  <c r="E494" i="1"/>
  <c r="E470" i="1"/>
  <c r="E446" i="1"/>
  <c r="E422" i="1"/>
  <c r="E398" i="1"/>
  <c r="E374" i="1"/>
  <c r="E350" i="1"/>
  <c r="E326" i="1"/>
  <c r="E302" i="1"/>
  <c r="E278" i="1"/>
  <c r="E254" i="1"/>
  <c r="E230" i="1"/>
  <c r="E206" i="1"/>
  <c r="J274" i="1"/>
  <c r="J360" i="1"/>
  <c r="I274" i="1"/>
  <c r="E493" i="1"/>
  <c r="E469" i="1"/>
  <c r="E445" i="1"/>
  <c r="E421" i="1"/>
  <c r="E397" i="1"/>
  <c r="E373" i="1"/>
  <c r="E301" i="1"/>
  <c r="E277" i="1"/>
  <c r="E253" i="1"/>
  <c r="E229" i="1"/>
  <c r="E205" i="1"/>
  <c r="E492" i="1"/>
  <c r="E468" i="1"/>
  <c r="E444" i="1"/>
  <c r="E420" i="1"/>
  <c r="E396" i="1"/>
  <c r="E372" i="1"/>
  <c r="E300" i="1"/>
  <c r="E276" i="1"/>
  <c r="E228" i="1"/>
  <c r="E491" i="1"/>
  <c r="E467" i="1"/>
  <c r="E443" i="1"/>
  <c r="E419" i="1"/>
  <c r="E395" i="1"/>
  <c r="E371" i="1"/>
  <c r="E347" i="1"/>
  <c r="E299" i="1"/>
  <c r="E275" i="1"/>
  <c r="E227" i="1"/>
  <c r="E203" i="1"/>
  <c r="E466" i="1"/>
  <c r="E442" i="1"/>
  <c r="E418" i="1"/>
  <c r="E394" i="1"/>
  <c r="E370" i="1"/>
  <c r="E346" i="1"/>
  <c r="E298" i="1"/>
  <c r="E250" i="1"/>
  <c r="E226" i="1"/>
  <c r="E202" i="1"/>
  <c r="E489" i="1"/>
  <c r="E465" i="1"/>
  <c r="E441" i="1"/>
  <c r="E417" i="1"/>
  <c r="E393" i="1"/>
  <c r="E369" i="1"/>
  <c r="E345" i="1"/>
  <c r="E321" i="1"/>
  <c r="E297" i="1"/>
  <c r="E273" i="1"/>
  <c r="E249" i="1"/>
  <c r="E201" i="1"/>
  <c r="E488" i="1"/>
  <c r="E464" i="1"/>
  <c r="E440" i="1"/>
  <c r="E416" i="1"/>
  <c r="E392" i="1"/>
  <c r="E368" i="1"/>
  <c r="E344" i="1"/>
  <c r="E320" i="1"/>
  <c r="E296" i="1"/>
  <c r="E272" i="1"/>
  <c r="E248" i="1"/>
  <c r="E200" i="1"/>
  <c r="E487" i="1"/>
  <c r="E463" i="1"/>
  <c r="E439" i="1"/>
  <c r="E415" i="1"/>
  <c r="E391" i="1"/>
  <c r="E343" i="1"/>
  <c r="E319" i="1"/>
  <c r="E295" i="1"/>
  <c r="E271" i="1"/>
  <c r="E247" i="1"/>
  <c r="E223" i="1"/>
  <c r="E199" i="1"/>
  <c r="J485" i="1"/>
  <c r="J268" i="1"/>
  <c r="E486" i="1"/>
  <c r="E462" i="1"/>
  <c r="E438" i="1"/>
  <c r="E414" i="1"/>
  <c r="E390" i="1"/>
  <c r="E366" i="1"/>
  <c r="E342" i="1"/>
  <c r="E318" i="1"/>
  <c r="E294" i="1"/>
  <c r="E270" i="1"/>
  <c r="E246" i="1"/>
  <c r="E222" i="1"/>
  <c r="E198" i="1"/>
  <c r="E485" i="1"/>
  <c r="E461" i="1"/>
  <c r="E437" i="1"/>
  <c r="E413" i="1"/>
  <c r="E389" i="1"/>
  <c r="E365" i="1"/>
  <c r="E341" i="1"/>
  <c r="E317" i="1"/>
  <c r="E293" i="1"/>
  <c r="E269" i="1"/>
  <c r="E245" i="1"/>
  <c r="E221" i="1"/>
  <c r="E197" i="1"/>
  <c r="E460" i="1"/>
  <c r="E436" i="1"/>
  <c r="E412" i="1"/>
  <c r="E364" i="1"/>
  <c r="E340" i="1"/>
  <c r="E316" i="1"/>
  <c r="E292" i="1"/>
  <c r="E268" i="1"/>
  <c r="E196" i="1"/>
  <c r="E483" i="1"/>
  <c r="E459" i="1"/>
  <c r="E435" i="1"/>
  <c r="E411" i="1"/>
  <c r="E387" i="1"/>
  <c r="E363" i="1"/>
  <c r="E339" i="1"/>
  <c r="E315" i="1"/>
  <c r="E291" i="1"/>
  <c r="E267" i="1"/>
  <c r="E243" i="1"/>
  <c r="E219" i="1"/>
  <c r="E195" i="1"/>
  <c r="I284" i="1"/>
  <c r="E482" i="1"/>
  <c r="E458" i="1"/>
  <c r="E434" i="1"/>
  <c r="E410" i="1"/>
  <c r="E386" i="1"/>
  <c r="E338" i="1"/>
  <c r="E314" i="1"/>
  <c r="E290" i="1"/>
  <c r="E266" i="1"/>
  <c r="E218" i="1"/>
  <c r="E194" i="1"/>
  <c r="E457" i="1"/>
  <c r="E433" i="1"/>
  <c r="E385" i="1"/>
  <c r="E361" i="1"/>
  <c r="E337" i="1"/>
  <c r="E313" i="1"/>
  <c r="E289" i="1"/>
  <c r="E265" i="1"/>
  <c r="E241" i="1"/>
  <c r="E217" i="1"/>
  <c r="E193" i="1"/>
  <c r="E480" i="1"/>
  <c r="E456" i="1"/>
  <c r="E432" i="1"/>
  <c r="E408" i="1"/>
  <c r="E384" i="1"/>
  <c r="E360" i="1"/>
  <c r="E336" i="1"/>
  <c r="E312" i="1"/>
  <c r="E288" i="1"/>
  <c r="E264" i="1"/>
  <c r="E240" i="1"/>
  <c r="E216" i="1"/>
  <c r="E192" i="1"/>
  <c r="E479" i="1"/>
  <c r="E431" i="1"/>
  <c r="E407" i="1"/>
  <c r="E383" i="1"/>
  <c r="E359" i="1"/>
  <c r="E335" i="1"/>
  <c r="E311" i="1"/>
  <c r="E263" i="1"/>
  <c r="E239" i="1"/>
  <c r="E215" i="1"/>
  <c r="E191" i="1"/>
  <c r="I377" i="1"/>
  <c r="J293" i="1"/>
  <c r="I483" i="1"/>
  <c r="I228" i="1"/>
  <c r="I372" i="1"/>
  <c r="I329" i="1"/>
  <c r="I433" i="1"/>
  <c r="I326" i="1"/>
  <c r="J474" i="1"/>
  <c r="I383" i="1"/>
  <c r="J364" i="1"/>
  <c r="J302" i="1"/>
  <c r="J468" i="1"/>
  <c r="I302" i="1"/>
  <c r="I261" i="1"/>
  <c r="J218" i="1"/>
  <c r="I468" i="1"/>
  <c r="I490" i="1"/>
  <c r="J413" i="1"/>
  <c r="J390" i="1"/>
  <c r="J372" i="1"/>
  <c r="I471" i="1"/>
  <c r="I389" i="1"/>
  <c r="I450" i="1"/>
  <c r="I370" i="1"/>
  <c r="J326" i="1"/>
  <c r="B69" i="1"/>
  <c r="I69" i="1" s="1"/>
  <c r="J213" i="1"/>
  <c r="I213" i="1"/>
  <c r="B60" i="1"/>
  <c r="J60" i="1" s="1"/>
  <c r="I292" i="1"/>
  <c r="I273" i="1"/>
  <c r="I291" i="1"/>
  <c r="B45" i="1"/>
  <c r="I45" i="1" s="1"/>
  <c r="B2" i="1"/>
  <c r="B285" i="1"/>
  <c r="B108" i="1"/>
  <c r="J108" i="1" s="1"/>
  <c r="J469" i="1"/>
  <c r="I469" i="1"/>
  <c r="J434" i="1"/>
  <c r="J394" i="1"/>
  <c r="B479" i="1"/>
  <c r="B478" i="1"/>
  <c r="B477" i="1"/>
  <c r="B261" i="1"/>
  <c r="B93" i="1"/>
  <c r="J93" i="1" s="1"/>
  <c r="B455" i="1"/>
  <c r="B239" i="1"/>
  <c r="B84" i="1"/>
  <c r="I84" i="1" s="1"/>
  <c r="J391" i="1"/>
  <c r="J238" i="1"/>
  <c r="B454" i="1"/>
  <c r="B238" i="1"/>
  <c r="B82" i="1"/>
  <c r="J82" i="1" s="1"/>
  <c r="I498" i="1"/>
  <c r="B453" i="1"/>
  <c r="B237" i="1"/>
  <c r="B71" i="1"/>
  <c r="J71" i="1" s="1"/>
  <c r="B431" i="1"/>
  <c r="B70" i="1"/>
  <c r="J70" i="1" s="1"/>
  <c r="J478" i="1"/>
  <c r="J445" i="1"/>
  <c r="J409" i="1"/>
  <c r="B430" i="1"/>
  <c r="B214" i="1"/>
  <c r="I478" i="1"/>
  <c r="I445" i="1"/>
  <c r="I409" i="1"/>
  <c r="J389" i="1"/>
  <c r="J235" i="1"/>
  <c r="B407" i="1"/>
  <c r="B213" i="1"/>
  <c r="B383" i="1"/>
  <c r="B58" i="1"/>
  <c r="J58" i="1" s="1"/>
  <c r="B382" i="1"/>
  <c r="B191" i="1"/>
  <c r="J191" i="1" s="1"/>
  <c r="B47" i="1"/>
  <c r="I47" i="1" s="1"/>
  <c r="B381" i="1"/>
  <c r="B190" i="1"/>
  <c r="J190" i="1" s="1"/>
  <c r="B46" i="1"/>
  <c r="I46" i="1" s="1"/>
  <c r="I461" i="1"/>
  <c r="J232" i="1"/>
  <c r="B359" i="1"/>
  <c r="B358" i="1"/>
  <c r="B167" i="1"/>
  <c r="I167" i="1" s="1"/>
  <c r="B36" i="1"/>
  <c r="I36" i="1" s="1"/>
  <c r="B357" i="1"/>
  <c r="B35" i="1"/>
  <c r="J35" i="1" s="1"/>
  <c r="F47" i="1"/>
  <c r="B335" i="1"/>
  <c r="B34" i="1"/>
  <c r="I34" i="1" s="1"/>
  <c r="A385" i="1"/>
  <c r="A291" i="1"/>
  <c r="I384" i="1"/>
  <c r="I347" i="1"/>
  <c r="J230" i="1"/>
  <c r="G290" i="1"/>
  <c r="B334" i="1"/>
  <c r="B143" i="1"/>
  <c r="J143" i="1" s="1"/>
  <c r="B23" i="1"/>
  <c r="I23" i="1" s="1"/>
  <c r="J473" i="1"/>
  <c r="J439" i="1"/>
  <c r="G288" i="1"/>
  <c r="B142" i="1"/>
  <c r="I142" i="1" s="1"/>
  <c r="B22" i="1"/>
  <c r="I22" i="1" s="1"/>
  <c r="G199" i="1"/>
  <c r="B311" i="1"/>
  <c r="B310" i="1"/>
  <c r="B132" i="1"/>
  <c r="J132" i="1" s="1"/>
  <c r="B119" i="1"/>
  <c r="I119" i="1" s="1"/>
  <c r="I436" i="1"/>
  <c r="B287" i="1"/>
  <c r="B118" i="1"/>
  <c r="I118" i="1" s="1"/>
  <c r="I10" i="1"/>
  <c r="B286" i="1"/>
  <c r="B9" i="1"/>
  <c r="J9" i="1" s="1"/>
  <c r="J482" i="1"/>
  <c r="J420" i="1"/>
  <c r="I403" i="1"/>
  <c r="I371" i="1"/>
  <c r="J314" i="1"/>
  <c r="J277" i="1"/>
  <c r="I225" i="1"/>
  <c r="B500" i="1"/>
  <c r="B476" i="1"/>
  <c r="B452" i="1"/>
  <c r="B428" i="1"/>
  <c r="B380" i="1"/>
  <c r="B356" i="1"/>
  <c r="B332" i="1"/>
  <c r="B308" i="1"/>
  <c r="B284" i="1"/>
  <c r="B260" i="1"/>
  <c r="B236" i="1"/>
  <c r="B212" i="1"/>
  <c r="B92" i="1"/>
  <c r="I92" i="1" s="1"/>
  <c r="B68" i="1"/>
  <c r="J68" i="1" s="1"/>
  <c r="H492" i="1"/>
  <c r="B499" i="1"/>
  <c r="B475" i="1"/>
  <c r="B451" i="1"/>
  <c r="B403" i="1"/>
  <c r="B379" i="1"/>
  <c r="B355" i="1"/>
  <c r="B331" i="1"/>
  <c r="B307" i="1"/>
  <c r="B259" i="1"/>
  <c r="B211" i="1"/>
  <c r="B139" i="1"/>
  <c r="J139" i="1" s="1"/>
  <c r="B91" i="1"/>
  <c r="I91" i="1" s="1"/>
  <c r="B67" i="1"/>
  <c r="I67" i="1" s="1"/>
  <c r="B19" i="1"/>
  <c r="I19" i="1" s="1"/>
  <c r="H491" i="1"/>
  <c r="B498" i="1"/>
  <c r="B474" i="1"/>
  <c r="B450" i="1"/>
  <c r="B426" i="1"/>
  <c r="B402" i="1"/>
  <c r="B354" i="1"/>
  <c r="B330" i="1"/>
  <c r="B306" i="1"/>
  <c r="B282" i="1"/>
  <c r="B258" i="1"/>
  <c r="B138" i="1"/>
  <c r="B114" i="1"/>
  <c r="J114" i="1" s="1"/>
  <c r="B66" i="1"/>
  <c r="J66" i="1" s="1"/>
  <c r="B406" i="1"/>
  <c r="A208" i="1"/>
  <c r="B429" i="1"/>
  <c r="B405" i="1"/>
  <c r="J495" i="1"/>
  <c r="I495" i="1"/>
  <c r="J292" i="1"/>
  <c r="H478" i="1"/>
  <c r="B497" i="1"/>
  <c r="B473" i="1"/>
  <c r="B449" i="1"/>
  <c r="B425" i="1"/>
  <c r="B401" i="1"/>
  <c r="B377" i="1"/>
  <c r="B353" i="1"/>
  <c r="B329" i="1"/>
  <c r="B305" i="1"/>
  <c r="B281" i="1"/>
  <c r="B257" i="1"/>
  <c r="B233" i="1"/>
  <c r="B209" i="1"/>
  <c r="B137" i="1"/>
  <c r="J137" i="1" s="1"/>
  <c r="B89" i="1"/>
  <c r="I89" i="1" s="1"/>
  <c r="B17" i="1"/>
  <c r="I17" i="1" s="1"/>
  <c r="H380" i="1"/>
  <c r="B496" i="1"/>
  <c r="B448" i="1"/>
  <c r="B424" i="1"/>
  <c r="B400" i="1"/>
  <c r="B352" i="1"/>
  <c r="B328" i="1"/>
  <c r="B280" i="1"/>
  <c r="B256" i="1"/>
  <c r="B208" i="1"/>
  <c r="B184" i="1"/>
  <c r="I184" i="1" s="1"/>
  <c r="B88" i="1"/>
  <c r="B40" i="1"/>
  <c r="I40" i="1" s="1"/>
  <c r="B16" i="1"/>
  <c r="I16" i="1" s="1"/>
  <c r="E27" i="1"/>
  <c r="H369" i="1"/>
  <c r="B495" i="1"/>
  <c r="B471" i="1"/>
  <c r="B447" i="1"/>
  <c r="B399" i="1"/>
  <c r="B351" i="1"/>
  <c r="B327" i="1"/>
  <c r="B303" i="1"/>
  <c r="B279" i="1"/>
  <c r="B255" i="1"/>
  <c r="B207" i="1"/>
  <c r="B159" i="1"/>
  <c r="J159" i="1" s="1"/>
  <c r="B135" i="1"/>
  <c r="J135" i="1" s="1"/>
  <c r="B111" i="1"/>
  <c r="J111" i="1" s="1"/>
  <c r="B63" i="1"/>
  <c r="J63" i="1" s="1"/>
  <c r="B39" i="1"/>
  <c r="J39" i="1" s="1"/>
  <c r="B15" i="1"/>
  <c r="J15" i="1" s="1"/>
  <c r="F492" i="1"/>
  <c r="H368" i="1"/>
  <c r="B470" i="1"/>
  <c r="B422" i="1"/>
  <c r="B374" i="1"/>
  <c r="B350" i="1"/>
  <c r="B326" i="1"/>
  <c r="B278" i="1"/>
  <c r="B254" i="1"/>
  <c r="B206" i="1"/>
  <c r="B158" i="1"/>
  <c r="I158" i="1" s="1"/>
  <c r="B134" i="1"/>
  <c r="J134" i="1" s="1"/>
  <c r="B110" i="1"/>
  <c r="I110" i="1" s="1"/>
  <c r="B86" i="1"/>
  <c r="I86" i="1" s="1"/>
  <c r="B38" i="1"/>
  <c r="I38" i="1" s="1"/>
  <c r="J449" i="1"/>
  <c r="J492" i="1"/>
  <c r="I414" i="1"/>
  <c r="J381" i="1"/>
  <c r="F486" i="1"/>
  <c r="H323" i="1"/>
  <c r="B493" i="1"/>
  <c r="B445" i="1"/>
  <c r="B397" i="1"/>
  <c r="B349" i="1"/>
  <c r="B325" i="1"/>
  <c r="B181" i="1"/>
  <c r="I181" i="1" s="1"/>
  <c r="B133" i="1"/>
  <c r="J133" i="1" s="1"/>
  <c r="B109" i="1"/>
  <c r="I109" i="1" s="1"/>
  <c r="B85" i="1"/>
  <c r="I85" i="1" s="1"/>
  <c r="B61" i="1"/>
  <c r="J61" i="1" s="1"/>
  <c r="H250" i="1"/>
  <c r="B492" i="1"/>
  <c r="B468" i="1"/>
  <c r="B444" i="1"/>
  <c r="B420" i="1"/>
  <c r="B396" i="1"/>
  <c r="B348" i="1"/>
  <c r="B324" i="1"/>
  <c r="B300" i="1"/>
  <c r="B276" i="1"/>
  <c r="B252" i="1"/>
  <c r="B180" i="1"/>
  <c r="J180" i="1" s="1"/>
  <c r="B156" i="1"/>
  <c r="J156" i="1" s="1"/>
  <c r="F382" i="1"/>
  <c r="H249" i="1"/>
  <c r="B467" i="1"/>
  <c r="B443" i="1"/>
  <c r="B419" i="1"/>
  <c r="B395" i="1"/>
  <c r="B371" i="1"/>
  <c r="B347" i="1"/>
  <c r="B323" i="1"/>
  <c r="B299" i="1"/>
  <c r="B275" i="1"/>
  <c r="B251" i="1"/>
  <c r="B203" i="1"/>
  <c r="B131" i="1"/>
  <c r="J131" i="1" s="1"/>
  <c r="B107" i="1"/>
  <c r="J107" i="1" s="1"/>
  <c r="B83" i="1"/>
  <c r="J83" i="1" s="1"/>
  <c r="B59" i="1"/>
  <c r="J59" i="1" s="1"/>
  <c r="A414" i="1"/>
  <c r="J462" i="1"/>
  <c r="F357" i="1"/>
  <c r="H212" i="1"/>
  <c r="B490" i="1"/>
  <c r="B466" i="1"/>
  <c r="B418" i="1"/>
  <c r="B394" i="1"/>
  <c r="B370" i="1"/>
  <c r="B346" i="1"/>
  <c r="B322" i="1"/>
  <c r="B274" i="1"/>
  <c r="B250" i="1"/>
  <c r="B202" i="1"/>
  <c r="B178" i="1"/>
  <c r="I178" i="1" s="1"/>
  <c r="B130" i="1"/>
  <c r="I130" i="1" s="1"/>
  <c r="B106" i="1"/>
  <c r="I106" i="1" s="1"/>
  <c r="J475" i="1"/>
  <c r="I462" i="1"/>
  <c r="I288" i="1"/>
  <c r="I216" i="1"/>
  <c r="F237" i="1"/>
  <c r="H211" i="1"/>
  <c r="B489" i="1"/>
  <c r="B465" i="1"/>
  <c r="B441" i="1"/>
  <c r="B417" i="1"/>
  <c r="B393" i="1"/>
  <c r="B369" i="1"/>
  <c r="B345" i="1"/>
  <c r="B297" i="1"/>
  <c r="B273" i="1"/>
  <c r="B249" i="1"/>
  <c r="B225" i="1"/>
  <c r="B105" i="1"/>
  <c r="I105" i="1" s="1"/>
  <c r="F221" i="1"/>
  <c r="H208" i="1"/>
  <c r="B488" i="1"/>
  <c r="B464" i="1"/>
  <c r="B440" i="1"/>
  <c r="B416" i="1"/>
  <c r="B392" i="1"/>
  <c r="B368" i="1"/>
  <c r="B296" i="1"/>
  <c r="B272" i="1"/>
  <c r="B248" i="1"/>
  <c r="B224" i="1"/>
  <c r="B200" i="1"/>
  <c r="B176" i="1"/>
  <c r="J176" i="1" s="1"/>
  <c r="B152" i="1"/>
  <c r="J152" i="1" s="1"/>
  <c r="B128" i="1"/>
  <c r="I128" i="1" s="1"/>
  <c r="B56" i="1"/>
  <c r="J56" i="1" s="1"/>
  <c r="B8" i="1"/>
  <c r="F220" i="1"/>
  <c r="H199" i="1"/>
  <c r="B487" i="1"/>
  <c r="B439" i="1"/>
  <c r="B415" i="1"/>
  <c r="B391" i="1"/>
  <c r="B367" i="1"/>
  <c r="B343" i="1"/>
  <c r="B295" i="1"/>
  <c r="B271" i="1"/>
  <c r="B247" i="1"/>
  <c r="B199" i="1"/>
  <c r="B175" i="1"/>
  <c r="J175" i="1" s="1"/>
  <c r="B151" i="1"/>
  <c r="J151" i="1" s="1"/>
  <c r="B127" i="1"/>
  <c r="I127" i="1" s="1"/>
  <c r="B103" i="1"/>
  <c r="I103" i="1" s="1"/>
  <c r="B55" i="1"/>
  <c r="J55" i="1" s="1"/>
  <c r="B7" i="1"/>
  <c r="F51" i="1"/>
  <c r="B486" i="1"/>
  <c r="B462" i="1"/>
  <c r="B438" i="1"/>
  <c r="B390" i="1"/>
  <c r="B366" i="1"/>
  <c r="B318" i="1"/>
  <c r="B270" i="1"/>
  <c r="B222" i="1"/>
  <c r="B198" i="1"/>
  <c r="B174" i="1"/>
  <c r="I174" i="1" s="1"/>
  <c r="B150" i="1"/>
  <c r="B126" i="1"/>
  <c r="I126" i="1" s="1"/>
  <c r="B102" i="1"/>
  <c r="B54" i="1"/>
  <c r="I54" i="1" s="1"/>
  <c r="B6" i="1"/>
  <c r="B485" i="1"/>
  <c r="B461" i="1"/>
  <c r="B389" i="1"/>
  <c r="B365" i="1"/>
  <c r="B341" i="1"/>
  <c r="B293" i="1"/>
  <c r="B245" i="1"/>
  <c r="B221" i="1"/>
  <c r="B173" i="1"/>
  <c r="J173" i="1" s="1"/>
  <c r="B149" i="1"/>
  <c r="J149" i="1" s="1"/>
  <c r="B77" i="1"/>
  <c r="I77" i="1" s="1"/>
  <c r="B5" i="1"/>
  <c r="J5" i="1" s="1"/>
  <c r="B484" i="1"/>
  <c r="B460" i="1"/>
  <c r="B436" i="1"/>
  <c r="B412" i="1"/>
  <c r="B388" i="1"/>
  <c r="B364" i="1"/>
  <c r="B340" i="1"/>
  <c r="B292" i="1"/>
  <c r="B268" i="1"/>
  <c r="B244" i="1"/>
  <c r="B220" i="1"/>
  <c r="B196" i="1"/>
  <c r="B172" i="1"/>
  <c r="J172" i="1" s="1"/>
  <c r="B148" i="1"/>
  <c r="J148" i="1" s="1"/>
  <c r="B100" i="1"/>
  <c r="I100" i="1" s="1"/>
  <c r="B28" i="1"/>
  <c r="I28" i="1" s="1"/>
  <c r="B4" i="1"/>
  <c r="J486" i="1"/>
  <c r="G439" i="1"/>
  <c r="I266" i="1"/>
  <c r="G429" i="1"/>
  <c r="B459" i="1"/>
  <c r="B435" i="1"/>
  <c r="B411" i="1"/>
  <c r="B387" i="1"/>
  <c r="B363" i="1"/>
  <c r="B315" i="1"/>
  <c r="B291" i="1"/>
  <c r="B267" i="1"/>
  <c r="B243" i="1"/>
  <c r="B195" i="1"/>
  <c r="B171" i="1"/>
  <c r="J171" i="1" s="1"/>
  <c r="B99" i="1"/>
  <c r="J99" i="1" s="1"/>
  <c r="B75" i="1"/>
  <c r="I75" i="1" s="1"/>
  <c r="B27" i="1"/>
  <c r="I27" i="1" s="1"/>
  <c r="B3" i="1"/>
  <c r="G409" i="1"/>
  <c r="B482" i="1"/>
  <c r="B458" i="1"/>
  <c r="B434" i="1"/>
  <c r="B386" i="1"/>
  <c r="B362" i="1"/>
  <c r="B314" i="1"/>
  <c r="B290" i="1"/>
  <c r="B266" i="1"/>
  <c r="B242" i="1"/>
  <c r="B218" i="1"/>
  <c r="B170" i="1"/>
  <c r="I170" i="1" s="1"/>
  <c r="B146" i="1"/>
  <c r="J146" i="1" s="1"/>
  <c r="B98" i="1"/>
  <c r="J98" i="1" s="1"/>
  <c r="B74" i="1"/>
  <c r="I74" i="1" s="1"/>
  <c r="B50" i="1"/>
  <c r="J50" i="1" s="1"/>
  <c r="B26" i="1"/>
  <c r="J26" i="1" s="1"/>
  <c r="B481" i="1"/>
  <c r="B433" i="1"/>
  <c r="B409" i="1"/>
  <c r="B385" i="1"/>
  <c r="B337" i="1"/>
  <c r="B313" i="1"/>
  <c r="B289" i="1"/>
  <c r="B265" i="1"/>
  <c r="B241" i="1"/>
  <c r="B145" i="1"/>
  <c r="I145" i="1" s="1"/>
  <c r="B121" i="1"/>
  <c r="I121" i="1" s="1"/>
  <c r="B97" i="1"/>
  <c r="I97" i="1" s="1"/>
  <c r="B49" i="1"/>
  <c r="J49" i="1" s="1"/>
  <c r="J456" i="1"/>
  <c r="J245" i="1"/>
  <c r="I456" i="1"/>
  <c r="J406" i="1"/>
  <c r="J336" i="1"/>
  <c r="I264" i="1"/>
  <c r="B480" i="1"/>
  <c r="B456" i="1"/>
  <c r="B432" i="1"/>
  <c r="B408" i="1"/>
  <c r="B336" i="1"/>
  <c r="B312" i="1"/>
  <c r="B288" i="1"/>
  <c r="B264" i="1"/>
  <c r="B216" i="1"/>
  <c r="B192" i="1"/>
  <c r="B96" i="1"/>
  <c r="J96" i="1" s="1"/>
  <c r="B48" i="1"/>
  <c r="I48" i="1" s="1"/>
  <c r="B24" i="1"/>
  <c r="I24" i="1" s="1"/>
  <c r="I57" i="1"/>
  <c r="I168" i="1"/>
  <c r="I179" i="1"/>
  <c r="I31" i="1"/>
  <c r="J14" i="1"/>
  <c r="I79" i="1"/>
  <c r="J124" i="1"/>
  <c r="J185" i="1"/>
  <c r="G101" i="1"/>
  <c r="E101" i="1"/>
  <c r="E37" i="1"/>
  <c r="E141" i="1"/>
  <c r="G141" i="1"/>
  <c r="F30" i="1"/>
  <c r="G25" i="1"/>
  <c r="E25" i="1"/>
  <c r="E129" i="1"/>
  <c r="J136" i="1"/>
  <c r="G136" i="1"/>
  <c r="J57" i="1"/>
  <c r="F46" i="1"/>
  <c r="H119" i="1"/>
  <c r="H143" i="1"/>
  <c r="H39" i="1"/>
  <c r="E130" i="1"/>
  <c r="H38" i="1"/>
  <c r="E133" i="1"/>
  <c r="F401" i="1"/>
  <c r="F224" i="1"/>
  <c r="F49" i="1"/>
  <c r="G444" i="1"/>
  <c r="G302" i="1"/>
  <c r="H371" i="1"/>
  <c r="F406" i="1"/>
  <c r="G447" i="1"/>
  <c r="G179" i="1"/>
  <c r="I117" i="1"/>
  <c r="J458" i="1"/>
  <c r="I458" i="1"/>
  <c r="A431" i="1"/>
  <c r="J370" i="1"/>
  <c r="I257" i="1"/>
  <c r="E132" i="1"/>
  <c r="F392" i="1"/>
  <c r="F222" i="1"/>
  <c r="F48" i="1"/>
  <c r="G442" i="1"/>
  <c r="G301" i="1"/>
  <c r="G144" i="1"/>
  <c r="H490" i="1"/>
  <c r="H370" i="1"/>
  <c r="H213" i="1"/>
  <c r="H36" i="1"/>
  <c r="J76" i="1"/>
  <c r="H488" i="1"/>
  <c r="I481" i="1"/>
  <c r="J285" i="1"/>
  <c r="I238" i="1"/>
  <c r="E106" i="1"/>
  <c r="F487" i="1"/>
  <c r="F219" i="1"/>
  <c r="F45" i="1"/>
  <c r="G428" i="1"/>
  <c r="G289" i="1"/>
  <c r="H481" i="1"/>
  <c r="H367" i="1"/>
  <c r="H209" i="1"/>
  <c r="F356" i="1"/>
  <c r="F197" i="1"/>
  <c r="F40" i="1"/>
  <c r="H359" i="1"/>
  <c r="F485" i="1"/>
  <c r="F355" i="1"/>
  <c r="F196" i="1"/>
  <c r="F39" i="1"/>
  <c r="G408" i="1"/>
  <c r="G287" i="1"/>
  <c r="G134" i="1"/>
  <c r="H477" i="1"/>
  <c r="H358" i="1"/>
  <c r="F488" i="1"/>
  <c r="J493" i="1"/>
  <c r="J350" i="1"/>
  <c r="I493" i="1"/>
  <c r="I426" i="1"/>
  <c r="J410" i="1"/>
  <c r="I366" i="1"/>
  <c r="I350" i="1"/>
  <c r="I332" i="1"/>
  <c r="J267" i="1"/>
  <c r="I219" i="1"/>
  <c r="A204" i="1"/>
  <c r="F477" i="1"/>
  <c r="F354" i="1"/>
  <c r="F184" i="1"/>
  <c r="G500" i="1"/>
  <c r="G406" i="1"/>
  <c r="G133" i="1"/>
  <c r="H476" i="1"/>
  <c r="H331" i="1"/>
  <c r="F476" i="1"/>
  <c r="F183" i="1"/>
  <c r="G499" i="1"/>
  <c r="G132" i="1"/>
  <c r="H475" i="1"/>
  <c r="H330" i="1"/>
  <c r="E98" i="1"/>
  <c r="F475" i="1"/>
  <c r="F349" i="1"/>
  <c r="G498" i="1"/>
  <c r="G394" i="1"/>
  <c r="G131" i="1"/>
  <c r="H474" i="1"/>
  <c r="H156" i="1"/>
  <c r="H489" i="1"/>
  <c r="E95" i="1"/>
  <c r="F474" i="1"/>
  <c r="F332" i="1"/>
  <c r="G393" i="1"/>
  <c r="G254" i="1"/>
  <c r="H444" i="1"/>
  <c r="H313" i="1"/>
  <c r="J465" i="1"/>
  <c r="I438" i="1"/>
  <c r="J347" i="1"/>
  <c r="J313" i="1"/>
  <c r="J295" i="1"/>
  <c r="E94" i="1"/>
  <c r="F455" i="1"/>
  <c r="F331" i="1"/>
  <c r="F172" i="1"/>
  <c r="G492" i="1"/>
  <c r="G392" i="1"/>
  <c r="G253" i="1"/>
  <c r="G118" i="1"/>
  <c r="H432" i="1"/>
  <c r="H134" i="1"/>
  <c r="E85" i="1"/>
  <c r="F302" i="1"/>
  <c r="F171" i="1"/>
  <c r="G491" i="1"/>
  <c r="G391" i="1"/>
  <c r="G252" i="1"/>
  <c r="H302" i="1"/>
  <c r="H121" i="1"/>
  <c r="A58" i="1"/>
  <c r="J464" i="1"/>
  <c r="J450" i="1"/>
  <c r="A438" i="1"/>
  <c r="A313" i="1"/>
  <c r="A46" i="1"/>
  <c r="E84" i="1"/>
  <c r="F444" i="1"/>
  <c r="F296" i="1"/>
  <c r="F159" i="1"/>
  <c r="G490" i="1"/>
  <c r="G357" i="1"/>
  <c r="G251" i="1"/>
  <c r="H426" i="1"/>
  <c r="H301" i="1"/>
  <c r="H120" i="1"/>
  <c r="E83" i="1"/>
  <c r="F439" i="1"/>
  <c r="F292" i="1"/>
  <c r="F156" i="1"/>
  <c r="G489" i="1"/>
  <c r="G356" i="1"/>
  <c r="G250" i="1"/>
  <c r="G82" i="1"/>
  <c r="H425" i="1"/>
  <c r="H300" i="1"/>
  <c r="E82" i="1"/>
  <c r="F438" i="1"/>
  <c r="F291" i="1"/>
  <c r="F146" i="1"/>
  <c r="G478" i="1"/>
  <c r="G355" i="1"/>
  <c r="G249" i="1"/>
  <c r="G76" i="1"/>
  <c r="H279" i="1"/>
  <c r="H118" i="1"/>
  <c r="E76" i="1"/>
  <c r="F434" i="1"/>
  <c r="F290" i="1"/>
  <c r="F143" i="1"/>
  <c r="G477" i="1"/>
  <c r="G354" i="1"/>
  <c r="G242" i="1"/>
  <c r="G64" i="1"/>
  <c r="H420" i="1"/>
  <c r="H272" i="1"/>
  <c r="H117" i="1"/>
  <c r="E185" i="1"/>
  <c r="E51" i="1"/>
  <c r="F433" i="1"/>
  <c r="F277" i="1"/>
  <c r="F134" i="1"/>
  <c r="G476" i="1"/>
  <c r="G209" i="1"/>
  <c r="G61" i="1"/>
  <c r="H419" i="1"/>
  <c r="H271" i="1"/>
  <c r="H60" i="1"/>
  <c r="E181" i="1"/>
  <c r="E49" i="1"/>
  <c r="F432" i="1"/>
  <c r="F276" i="1"/>
  <c r="G475" i="1"/>
  <c r="G346" i="1"/>
  <c r="G208" i="1"/>
  <c r="G60" i="1"/>
  <c r="H389" i="1"/>
  <c r="H270" i="1"/>
  <c r="H57" i="1"/>
  <c r="E180" i="1"/>
  <c r="E48" i="1"/>
  <c r="F429" i="1"/>
  <c r="F132" i="1"/>
  <c r="G454" i="1"/>
  <c r="G345" i="1"/>
  <c r="G205" i="1"/>
  <c r="G51" i="1"/>
  <c r="H385" i="1"/>
  <c r="H264" i="1"/>
  <c r="J386" i="1"/>
  <c r="A275" i="1"/>
  <c r="J260" i="1"/>
  <c r="I386" i="1"/>
  <c r="I358" i="1"/>
  <c r="I260" i="1"/>
  <c r="J192" i="1"/>
  <c r="E176" i="1"/>
  <c r="E36" i="1"/>
  <c r="F428" i="1"/>
  <c r="F267" i="1"/>
  <c r="F64" i="1"/>
  <c r="G453" i="1"/>
  <c r="G344" i="1"/>
  <c r="H383" i="1"/>
  <c r="H253" i="1"/>
  <c r="J242" i="1"/>
  <c r="E152" i="1"/>
  <c r="E33" i="1"/>
  <c r="F409" i="1"/>
  <c r="F61" i="1"/>
  <c r="G452" i="1"/>
  <c r="G181" i="1"/>
  <c r="H500" i="1"/>
  <c r="H382" i="1"/>
  <c r="H252" i="1"/>
  <c r="H51" i="1"/>
  <c r="I459" i="1"/>
  <c r="J401" i="1"/>
  <c r="J259" i="1"/>
  <c r="I242" i="1"/>
  <c r="E143" i="1"/>
  <c r="E28" i="1"/>
  <c r="F408" i="1"/>
  <c r="F238" i="1"/>
  <c r="F60" i="1"/>
  <c r="G309" i="1"/>
  <c r="G180" i="1"/>
  <c r="H498" i="1"/>
  <c r="H381" i="1"/>
  <c r="H251" i="1"/>
  <c r="G11" i="1"/>
  <c r="H11" i="1"/>
  <c r="I422" i="1"/>
  <c r="G422" i="1"/>
  <c r="F422" i="1"/>
  <c r="H110" i="1"/>
  <c r="F125" i="1"/>
  <c r="E125" i="1"/>
  <c r="G216" i="1"/>
  <c r="F216" i="1"/>
  <c r="H333" i="1"/>
  <c r="G333" i="1"/>
  <c r="E55" i="1"/>
  <c r="H202" i="1"/>
  <c r="G165" i="1"/>
  <c r="E165" i="1"/>
  <c r="F165" i="1"/>
  <c r="G335" i="1"/>
  <c r="G125" i="1"/>
  <c r="F458" i="1"/>
  <c r="G214" i="1"/>
  <c r="G87" i="1"/>
  <c r="F136" i="1"/>
  <c r="A402" i="1"/>
  <c r="G402" i="1"/>
  <c r="J414" i="1"/>
  <c r="F414" i="1"/>
  <c r="H414" i="1"/>
  <c r="I401" i="1"/>
  <c r="I312" i="1"/>
  <c r="G312" i="1"/>
  <c r="F312" i="1"/>
  <c r="H161" i="1"/>
  <c r="G161" i="1"/>
  <c r="F161" i="1"/>
  <c r="E161" i="1"/>
  <c r="I161" i="1"/>
  <c r="H85" i="1"/>
  <c r="F85" i="1"/>
  <c r="H21" i="1"/>
  <c r="E21" i="1"/>
  <c r="F482" i="1"/>
  <c r="F396" i="1"/>
  <c r="G482" i="1"/>
  <c r="G204" i="1"/>
  <c r="H261" i="1"/>
  <c r="G232" i="1"/>
  <c r="G274" i="1"/>
  <c r="H387" i="1"/>
  <c r="G387" i="1"/>
  <c r="F138" i="1"/>
  <c r="A492" i="1"/>
  <c r="I311" i="1"/>
  <c r="H296" i="1"/>
  <c r="H160" i="1"/>
  <c r="G160" i="1"/>
  <c r="F160" i="1"/>
  <c r="E116" i="1"/>
  <c r="G116" i="1"/>
  <c r="F116" i="1"/>
  <c r="H116" i="1"/>
  <c r="F100" i="1"/>
  <c r="G100" i="1"/>
  <c r="H84" i="1"/>
  <c r="F84" i="1"/>
  <c r="G20" i="1"/>
  <c r="H20" i="1"/>
  <c r="E150" i="1"/>
  <c r="F478" i="1"/>
  <c r="F128" i="1"/>
  <c r="G481" i="1"/>
  <c r="G400" i="1"/>
  <c r="G299" i="1"/>
  <c r="G201" i="1"/>
  <c r="H449" i="1"/>
  <c r="H260" i="1"/>
  <c r="H125" i="1"/>
  <c r="J30" i="1"/>
  <c r="H471" i="1"/>
  <c r="G471" i="1"/>
  <c r="F471" i="1"/>
  <c r="F140" i="1"/>
  <c r="E104" i="1"/>
  <c r="F241" i="1"/>
  <c r="G241" i="1"/>
  <c r="H241" i="1"/>
  <c r="G31" i="1"/>
  <c r="F31" i="1"/>
  <c r="H31" i="1"/>
  <c r="G421" i="1"/>
  <c r="F421" i="1"/>
  <c r="G246" i="1"/>
  <c r="H246" i="1"/>
  <c r="G215" i="1"/>
  <c r="F215" i="1"/>
  <c r="G377" i="1"/>
  <c r="F377" i="1"/>
  <c r="G434" i="1"/>
  <c r="F229" i="1"/>
  <c r="H201" i="1"/>
  <c r="F494" i="1"/>
  <c r="J494" i="1"/>
  <c r="G360" i="1"/>
  <c r="G193" i="1"/>
  <c r="I193" i="1"/>
  <c r="J193" i="1"/>
  <c r="E149" i="1"/>
  <c r="E73" i="1"/>
  <c r="F389" i="1"/>
  <c r="A399" i="1"/>
  <c r="H399" i="1"/>
  <c r="I295" i="1"/>
  <c r="H295" i="1"/>
  <c r="J281" i="1"/>
  <c r="J206" i="1"/>
  <c r="G18" i="1"/>
  <c r="F18" i="1"/>
  <c r="H18" i="1"/>
  <c r="E18" i="1"/>
  <c r="F388" i="1"/>
  <c r="F192" i="1"/>
  <c r="F73" i="1"/>
  <c r="G396" i="1"/>
  <c r="G192" i="1"/>
  <c r="G73" i="1"/>
  <c r="H447" i="1"/>
  <c r="F32" i="1"/>
  <c r="H32" i="1"/>
  <c r="G320" i="1"/>
  <c r="F320" i="1"/>
  <c r="I448" i="1"/>
  <c r="J72" i="1"/>
  <c r="E72" i="1"/>
  <c r="E31" i="1"/>
  <c r="A230" i="1"/>
  <c r="H230" i="1"/>
  <c r="G230" i="1"/>
  <c r="G435" i="1"/>
  <c r="F245" i="1"/>
  <c r="H245" i="1"/>
  <c r="G163" i="1"/>
  <c r="E163" i="1"/>
  <c r="H163" i="1"/>
  <c r="F163" i="1"/>
  <c r="I163" i="1"/>
  <c r="H162" i="1"/>
  <c r="F162" i="1"/>
  <c r="F484" i="1"/>
  <c r="F193" i="1"/>
  <c r="H448" i="1"/>
  <c r="H366" i="1"/>
  <c r="A413" i="1"/>
  <c r="F413" i="1"/>
  <c r="H413" i="1"/>
  <c r="J425" i="1"/>
  <c r="F326" i="1"/>
  <c r="G326" i="1"/>
  <c r="A294" i="1"/>
  <c r="H294" i="1"/>
  <c r="I281" i="1"/>
  <c r="E17" i="1"/>
  <c r="F387" i="1"/>
  <c r="F281" i="1"/>
  <c r="F191" i="1"/>
  <c r="F72" i="1"/>
  <c r="G185" i="1"/>
  <c r="E32" i="1"/>
  <c r="F472" i="1"/>
  <c r="G472" i="1"/>
  <c r="H472" i="1"/>
  <c r="F337" i="1"/>
  <c r="F230" i="1"/>
  <c r="E68" i="1"/>
  <c r="H274" i="1"/>
  <c r="I226" i="1"/>
  <c r="G226" i="1"/>
  <c r="F242" i="1"/>
  <c r="F469" i="1"/>
  <c r="G469" i="1"/>
  <c r="H298" i="1"/>
  <c r="G325" i="1"/>
  <c r="F325" i="1"/>
  <c r="F190" i="1"/>
  <c r="G217" i="1"/>
  <c r="F29" i="1"/>
  <c r="H29" i="1"/>
  <c r="H203" i="1"/>
  <c r="A41" i="1"/>
  <c r="G433" i="1"/>
  <c r="A494" i="1"/>
  <c r="F333" i="1"/>
  <c r="H374" i="1"/>
  <c r="F374" i="1"/>
  <c r="G374" i="1"/>
  <c r="G86" i="1"/>
  <c r="H86" i="1"/>
  <c r="F86" i="1"/>
  <c r="H149" i="1"/>
  <c r="E175" i="1"/>
  <c r="H175" i="1"/>
  <c r="G175" i="1"/>
  <c r="F74" i="1"/>
  <c r="J500" i="1"/>
  <c r="G438" i="1"/>
  <c r="G324" i="1"/>
  <c r="F324" i="1"/>
  <c r="G310" i="1"/>
  <c r="H219" i="1"/>
  <c r="J219" i="1"/>
  <c r="G219" i="1"/>
  <c r="F205" i="1"/>
  <c r="E140" i="1"/>
  <c r="F385" i="1"/>
  <c r="F185" i="1"/>
  <c r="G286" i="1"/>
  <c r="H437" i="1"/>
  <c r="I21" i="1"/>
  <c r="G423" i="1"/>
  <c r="F423" i="1"/>
  <c r="F127" i="1"/>
  <c r="E127" i="1"/>
  <c r="G462" i="1"/>
  <c r="H462" i="1"/>
  <c r="F462" i="1"/>
  <c r="I378" i="1"/>
  <c r="F378" i="1"/>
  <c r="H320" i="1"/>
  <c r="J125" i="1"/>
  <c r="H42" i="1"/>
  <c r="G261" i="1"/>
  <c r="H70" i="1"/>
  <c r="E70" i="1"/>
  <c r="F260" i="1"/>
  <c r="E53" i="1"/>
  <c r="G53" i="1"/>
  <c r="F228" i="1"/>
  <c r="F457" i="1"/>
  <c r="H177" i="1"/>
  <c r="G177" i="1"/>
  <c r="E177" i="1"/>
  <c r="H386" i="1"/>
  <c r="G386" i="1"/>
  <c r="H192" i="1"/>
  <c r="G311" i="1"/>
  <c r="F311" i="1"/>
  <c r="G424" i="1"/>
  <c r="F424" i="1"/>
  <c r="G411" i="1"/>
  <c r="F411" i="1"/>
  <c r="J353" i="1"/>
  <c r="H353" i="1"/>
  <c r="I339" i="1"/>
  <c r="H339" i="1"/>
  <c r="J309" i="1"/>
  <c r="A293" i="1"/>
  <c r="H293" i="1"/>
  <c r="J280" i="1"/>
  <c r="H280" i="1"/>
  <c r="A280" i="1"/>
  <c r="G280" i="1"/>
  <c r="F204" i="1"/>
  <c r="H46" i="1"/>
  <c r="G46" i="1"/>
  <c r="E139" i="1"/>
  <c r="F449" i="1"/>
  <c r="H326" i="1"/>
  <c r="H216" i="1"/>
  <c r="I473" i="1"/>
  <c r="G473" i="1"/>
  <c r="H473" i="1"/>
  <c r="F473" i="1"/>
  <c r="G319" i="1"/>
  <c r="F319" i="1"/>
  <c r="A215" i="1"/>
  <c r="G90" i="1"/>
  <c r="F336" i="1"/>
  <c r="F335" i="1"/>
  <c r="H470" i="1"/>
  <c r="G470" i="1"/>
  <c r="F470" i="1"/>
  <c r="F334" i="1"/>
  <c r="J388" i="1"/>
  <c r="H178" i="1"/>
  <c r="G178" i="1"/>
  <c r="A53" i="1"/>
  <c r="I285" i="1"/>
  <c r="F412" i="1"/>
  <c r="F500" i="1"/>
  <c r="E59" i="1"/>
  <c r="E42" i="1"/>
  <c r="F448" i="1"/>
  <c r="F272" i="1"/>
  <c r="G260" i="1"/>
  <c r="H325" i="1"/>
  <c r="H215" i="1"/>
  <c r="H59" i="1"/>
  <c r="G75" i="1"/>
  <c r="F75" i="1"/>
  <c r="J366" i="1"/>
  <c r="F366" i="1"/>
  <c r="H321" i="1"/>
  <c r="A378" i="1"/>
  <c r="A421" i="1"/>
  <c r="H138" i="1"/>
  <c r="E56" i="1"/>
  <c r="F232" i="1"/>
  <c r="H41" i="1"/>
  <c r="A70" i="1"/>
  <c r="G336" i="1"/>
  <c r="E69" i="1"/>
  <c r="A274" i="1"/>
  <c r="A136" i="1"/>
  <c r="G334" i="1"/>
  <c r="I299" i="1"/>
  <c r="H299" i="1"/>
  <c r="G164" i="1"/>
  <c r="E164" i="1"/>
  <c r="H164" i="1"/>
  <c r="F164" i="1"/>
  <c r="F402" i="1"/>
  <c r="F240" i="1"/>
  <c r="G240" i="1"/>
  <c r="H240" i="1"/>
  <c r="J400" i="1"/>
  <c r="H400" i="1"/>
  <c r="H281" i="1"/>
  <c r="G281" i="1"/>
  <c r="A424" i="1"/>
  <c r="J352" i="1"/>
  <c r="I423" i="1"/>
  <c r="H410" i="1"/>
  <c r="G410" i="1"/>
  <c r="F410" i="1"/>
  <c r="J321" i="1"/>
  <c r="G218" i="1"/>
  <c r="H185" i="1"/>
  <c r="E58" i="1"/>
  <c r="A45" i="1"/>
  <c r="G45" i="1"/>
  <c r="H12" i="1"/>
  <c r="E41" i="1"/>
  <c r="F447" i="1"/>
  <c r="F271" i="1"/>
  <c r="F175" i="1"/>
  <c r="G449" i="1"/>
  <c r="G54" i="1"/>
  <c r="H324" i="1"/>
  <c r="H214" i="1"/>
  <c r="H58" i="1"/>
  <c r="I420" i="1"/>
  <c r="I394" i="1"/>
  <c r="A383" i="1"/>
  <c r="J371" i="1"/>
  <c r="J358" i="1"/>
  <c r="J331" i="1"/>
  <c r="A292" i="1"/>
  <c r="J224" i="1"/>
  <c r="J199" i="1"/>
  <c r="A134" i="1"/>
  <c r="A82" i="1"/>
  <c r="E171" i="1"/>
  <c r="E24" i="1"/>
  <c r="F381" i="1"/>
  <c r="F266" i="1"/>
  <c r="F213" i="1"/>
  <c r="F169" i="1"/>
  <c r="F117" i="1"/>
  <c r="F38" i="1"/>
  <c r="G474" i="1"/>
  <c r="G279" i="1"/>
  <c r="G117" i="1"/>
  <c r="H418" i="1"/>
  <c r="H357" i="1"/>
  <c r="H106" i="1"/>
  <c r="J407" i="1"/>
  <c r="J382" i="1"/>
  <c r="J303" i="1"/>
  <c r="J278" i="1"/>
  <c r="E169" i="1"/>
  <c r="E23" i="1"/>
  <c r="F380" i="1"/>
  <c r="F265" i="1"/>
  <c r="F211" i="1"/>
  <c r="F168" i="1"/>
  <c r="F37" i="1"/>
  <c r="G383" i="1"/>
  <c r="G278" i="1"/>
  <c r="G169" i="1"/>
  <c r="H355" i="1"/>
  <c r="H183" i="1"/>
  <c r="I466" i="1"/>
  <c r="A455" i="1"/>
  <c r="A346" i="1"/>
  <c r="I315" i="1"/>
  <c r="I278" i="1"/>
  <c r="J266" i="1"/>
  <c r="A224" i="1"/>
  <c r="J211" i="1"/>
  <c r="I198" i="1"/>
  <c r="E168" i="1"/>
  <c r="F464" i="1"/>
  <c r="F379" i="1"/>
  <c r="F264" i="1"/>
  <c r="F210" i="1"/>
  <c r="F167" i="1"/>
  <c r="F95" i="1"/>
  <c r="F36" i="1"/>
  <c r="G379" i="1"/>
  <c r="G277" i="1"/>
  <c r="G168" i="1"/>
  <c r="H468" i="1"/>
  <c r="H354" i="1"/>
  <c r="H25" i="1"/>
  <c r="I64" i="1"/>
  <c r="J223" i="1"/>
  <c r="A94" i="1"/>
  <c r="A38" i="1"/>
  <c r="E167" i="1"/>
  <c r="F420" i="1"/>
  <c r="F254" i="1"/>
  <c r="F209" i="1"/>
  <c r="F166" i="1"/>
  <c r="F94" i="1"/>
  <c r="G276" i="1"/>
  <c r="G224" i="1"/>
  <c r="G107" i="1"/>
  <c r="H467" i="1"/>
  <c r="H169" i="1"/>
  <c r="H95" i="1"/>
  <c r="H24" i="1"/>
  <c r="A357" i="1"/>
  <c r="E166" i="1"/>
  <c r="E117" i="1"/>
  <c r="F313" i="1"/>
  <c r="F253" i="1"/>
  <c r="F208" i="1"/>
  <c r="F92" i="1"/>
  <c r="G370" i="1"/>
  <c r="G275" i="1"/>
  <c r="G223" i="1"/>
  <c r="G166" i="1"/>
  <c r="G106" i="1"/>
  <c r="H345" i="1"/>
  <c r="H168" i="1"/>
  <c r="H94" i="1"/>
  <c r="I465" i="1"/>
  <c r="J453" i="1"/>
  <c r="I406" i="1"/>
  <c r="I391" i="1"/>
  <c r="I314" i="1"/>
  <c r="J209" i="1"/>
  <c r="G420" i="1"/>
  <c r="H341" i="1"/>
  <c r="H236" i="1"/>
  <c r="I428" i="1"/>
  <c r="I355" i="1"/>
  <c r="J328" i="1"/>
  <c r="J276" i="1"/>
  <c r="J221" i="1"/>
  <c r="I209" i="1"/>
  <c r="F367" i="1"/>
  <c r="G368" i="1"/>
  <c r="H464" i="1"/>
  <c r="H394" i="1"/>
  <c r="H291" i="1"/>
  <c r="G467" i="1"/>
  <c r="H393" i="1"/>
  <c r="H222" i="1"/>
  <c r="I439" i="1"/>
  <c r="J208" i="1"/>
  <c r="F359" i="1"/>
  <c r="F301" i="1"/>
  <c r="F76" i="1"/>
  <c r="F26" i="1"/>
  <c r="G464" i="1"/>
  <c r="G359" i="1"/>
  <c r="G264" i="1"/>
  <c r="G26" i="1"/>
  <c r="H453" i="1"/>
  <c r="H221" i="1"/>
  <c r="H64" i="1"/>
  <c r="E156" i="1"/>
  <c r="F456" i="1"/>
  <c r="F358" i="1"/>
  <c r="F300" i="1"/>
  <c r="F198" i="1"/>
  <c r="G455" i="1"/>
  <c r="H452" i="1"/>
  <c r="H332" i="1"/>
  <c r="F21" i="1"/>
  <c r="F16" i="1"/>
  <c r="F5" i="1"/>
  <c r="F4" i="1"/>
  <c r="G21" i="1"/>
  <c r="G16" i="1"/>
  <c r="G6" i="1"/>
  <c r="G5" i="1"/>
  <c r="G4" i="1"/>
  <c r="G3" i="1"/>
  <c r="F3" i="1"/>
  <c r="E5" i="1"/>
  <c r="H7" i="1"/>
  <c r="H6" i="1"/>
  <c r="E3" i="1"/>
  <c r="G10" i="1"/>
  <c r="H10" i="1"/>
  <c r="H14" i="1"/>
  <c r="H8" i="1"/>
  <c r="H13" i="1"/>
  <c r="A2" i="1"/>
  <c r="F6" i="1"/>
  <c r="F12" i="1"/>
  <c r="F7" i="1"/>
  <c r="F13" i="1"/>
  <c r="G2" i="1"/>
  <c r="A14" i="1"/>
  <c r="G12" i="1"/>
  <c r="F15" i="1"/>
  <c r="G81" i="1"/>
  <c r="F81" i="1"/>
  <c r="I81" i="1"/>
  <c r="H81" i="1"/>
  <c r="E81" i="1"/>
  <c r="H373" i="1"/>
  <c r="F373" i="1"/>
  <c r="G373" i="1"/>
  <c r="A263" i="1"/>
  <c r="G263" i="1"/>
  <c r="I263" i="1"/>
  <c r="H263" i="1"/>
  <c r="F263" i="1"/>
  <c r="H407" i="1"/>
  <c r="F407" i="1"/>
  <c r="F247" i="1"/>
  <c r="G247" i="1"/>
  <c r="H244" i="1"/>
  <c r="G244" i="1"/>
  <c r="J244" i="1"/>
  <c r="F244" i="1"/>
  <c r="H318" i="1"/>
  <c r="G318" i="1"/>
  <c r="H124" i="1"/>
  <c r="F124" i="1"/>
  <c r="E124" i="1"/>
  <c r="G124" i="1"/>
  <c r="G91" i="1"/>
  <c r="A330" i="1"/>
  <c r="H316" i="1"/>
  <c r="G316" i="1"/>
  <c r="F316" i="1"/>
  <c r="H113" i="1"/>
  <c r="E113" i="1"/>
  <c r="F113" i="1"/>
  <c r="G113" i="1"/>
  <c r="H2" i="1"/>
  <c r="F2" i="1"/>
  <c r="G200" i="1"/>
  <c r="H200" i="1"/>
  <c r="E111" i="1"/>
  <c r="G111" i="1"/>
  <c r="F111" i="1"/>
  <c r="A353" i="1"/>
  <c r="G353" i="1"/>
  <c r="A364" i="1"/>
  <c r="H364" i="1"/>
  <c r="G364" i="1"/>
  <c r="F364" i="1"/>
  <c r="J339" i="1"/>
  <c r="A155" i="1"/>
  <c r="H155" i="1"/>
  <c r="F155" i="1"/>
  <c r="E155" i="1"/>
  <c r="I155" i="1"/>
  <c r="G155" i="1"/>
  <c r="A54" i="1"/>
  <c r="F54" i="1"/>
  <c r="H54" i="1"/>
  <c r="A361" i="1"/>
  <c r="H361" i="1"/>
  <c r="G361" i="1"/>
  <c r="F361" i="1"/>
  <c r="A248" i="1"/>
  <c r="F248" i="1"/>
  <c r="J248" i="1"/>
  <c r="G248" i="1"/>
  <c r="A417" i="1"/>
  <c r="F417" i="1"/>
  <c r="J417" i="1"/>
  <c r="G417" i="1"/>
  <c r="H417" i="1"/>
  <c r="A440" i="1"/>
  <c r="A92" i="1"/>
  <c r="E92" i="1"/>
  <c r="H92" i="1"/>
  <c r="H50" i="1"/>
  <c r="E50" i="1"/>
  <c r="J451" i="1"/>
  <c r="H451" i="1"/>
  <c r="G451" i="1"/>
  <c r="G416" i="1"/>
  <c r="H416" i="1"/>
  <c r="A284" i="1"/>
  <c r="H284" i="1"/>
  <c r="F284" i="1"/>
  <c r="J284" i="1"/>
  <c r="A231" i="1"/>
  <c r="H231" i="1"/>
  <c r="J231" i="1"/>
  <c r="G231" i="1"/>
  <c r="A62" i="1"/>
  <c r="E62" i="1"/>
  <c r="G62" i="1"/>
  <c r="F62" i="1"/>
  <c r="F427" i="1"/>
  <c r="I427" i="1"/>
  <c r="J427" i="1"/>
  <c r="G427" i="1"/>
  <c r="H283" i="1"/>
  <c r="H104" i="1"/>
  <c r="G104" i="1"/>
  <c r="F104" i="1"/>
  <c r="G450" i="1"/>
  <c r="H450" i="1"/>
  <c r="F282" i="1"/>
  <c r="H282" i="1"/>
  <c r="A244" i="1"/>
  <c r="H137" i="1"/>
  <c r="G137" i="1"/>
  <c r="F137" i="1"/>
  <c r="E90" i="1"/>
  <c r="F90" i="1"/>
  <c r="H90" i="1"/>
  <c r="G461" i="1"/>
  <c r="J461" i="1"/>
  <c r="H461" i="1"/>
  <c r="G293" i="1"/>
  <c r="F293" i="1"/>
  <c r="G162" i="1"/>
  <c r="E162" i="1"/>
  <c r="H62" i="1"/>
  <c r="H460" i="1"/>
  <c r="G460" i="1"/>
  <c r="G269" i="1"/>
  <c r="I269" i="1"/>
  <c r="H269" i="1"/>
  <c r="J269" i="1"/>
  <c r="A269" i="1"/>
  <c r="H304" i="1"/>
  <c r="G304" i="1"/>
  <c r="H22" i="1"/>
  <c r="F22" i="1"/>
  <c r="G22" i="1"/>
  <c r="G342" i="1"/>
  <c r="H342" i="1"/>
  <c r="F342" i="1"/>
  <c r="J342" i="1"/>
  <c r="G186" i="1"/>
  <c r="E186" i="1"/>
  <c r="F186" i="1"/>
  <c r="H186" i="1"/>
  <c r="E135" i="1"/>
  <c r="H135" i="1"/>
  <c r="F135" i="1"/>
  <c r="F479" i="1"/>
  <c r="H479" i="1"/>
  <c r="G479" i="1"/>
  <c r="A341" i="1"/>
  <c r="G341" i="1"/>
  <c r="F341" i="1"/>
  <c r="F315" i="1"/>
  <c r="H315" i="1"/>
  <c r="H427" i="1"/>
  <c r="E145" i="1"/>
  <c r="F145" i="1"/>
  <c r="H145" i="1"/>
  <c r="F19" i="1"/>
  <c r="E19" i="1"/>
  <c r="J365" i="1"/>
  <c r="I365" i="1"/>
  <c r="G365" i="1"/>
  <c r="H365" i="1"/>
  <c r="F365" i="1"/>
  <c r="F398" i="1"/>
  <c r="I398" i="1"/>
  <c r="J398" i="1"/>
  <c r="G398" i="1"/>
  <c r="H398" i="1"/>
  <c r="A376" i="1"/>
  <c r="H376" i="1"/>
  <c r="J376" i="1"/>
  <c r="G376" i="1"/>
  <c r="F376" i="1"/>
  <c r="F328" i="1"/>
  <c r="H328" i="1"/>
  <c r="J397" i="1"/>
  <c r="J375" i="1"/>
  <c r="H375" i="1"/>
  <c r="G375" i="1"/>
  <c r="F375" i="1"/>
  <c r="A375" i="1"/>
  <c r="H352" i="1"/>
  <c r="G352" i="1"/>
  <c r="F327" i="1"/>
  <c r="A327" i="1"/>
  <c r="H327" i="1"/>
  <c r="H223" i="1"/>
  <c r="F223" i="1"/>
  <c r="E182" i="1"/>
  <c r="J182" i="1"/>
  <c r="F182" i="1"/>
  <c r="H182" i="1"/>
  <c r="H170" i="1"/>
  <c r="G170" i="1"/>
  <c r="F170" i="1"/>
  <c r="A67" i="1"/>
  <c r="G67" i="1"/>
  <c r="H67" i="1"/>
  <c r="E67" i="1"/>
  <c r="F67" i="1"/>
  <c r="F53" i="1"/>
  <c r="H53" i="1"/>
  <c r="F353" i="1"/>
  <c r="G283" i="1"/>
  <c r="G182" i="1"/>
  <c r="G19" i="1"/>
  <c r="H248" i="1"/>
  <c r="F395" i="1"/>
  <c r="I395" i="1"/>
  <c r="J395" i="1"/>
  <c r="G395" i="1"/>
  <c r="H395" i="1"/>
  <c r="F234" i="1"/>
  <c r="G234" i="1"/>
  <c r="H234" i="1"/>
  <c r="A65" i="1"/>
  <c r="E65" i="1"/>
  <c r="G65" i="1"/>
  <c r="H65" i="1"/>
  <c r="F65" i="1"/>
  <c r="H384" i="1"/>
  <c r="G384" i="1"/>
  <c r="A81" i="1"/>
  <c r="I262" i="1"/>
  <c r="J262" i="1"/>
  <c r="F262" i="1"/>
  <c r="H262" i="1"/>
  <c r="G262" i="1"/>
  <c r="A93" i="1"/>
  <c r="G93" i="1"/>
  <c r="E93" i="1"/>
  <c r="H93" i="1"/>
  <c r="F441" i="1"/>
  <c r="H441" i="1"/>
  <c r="J441" i="1"/>
  <c r="H440" i="1"/>
  <c r="F440" i="1"/>
  <c r="G105" i="1"/>
  <c r="F105" i="1"/>
  <c r="H105" i="1"/>
  <c r="F384" i="1"/>
  <c r="A463" i="1"/>
  <c r="J463" i="1"/>
  <c r="G463" i="1"/>
  <c r="H463" i="1"/>
  <c r="I463" i="1"/>
  <c r="F463" i="1"/>
  <c r="H78" i="1"/>
  <c r="G78" i="1"/>
  <c r="E78" i="1"/>
  <c r="H483" i="1"/>
  <c r="G483" i="1"/>
  <c r="J483" i="1"/>
  <c r="F483" i="1"/>
  <c r="G330" i="1"/>
  <c r="J330" i="1"/>
  <c r="F330" i="1"/>
  <c r="H101" i="1"/>
  <c r="F101" i="1"/>
  <c r="J101" i="1"/>
  <c r="E112" i="1"/>
  <c r="H112" i="1"/>
  <c r="G112" i="1"/>
  <c r="F112" i="1"/>
  <c r="A22" i="1"/>
  <c r="F318" i="1"/>
  <c r="A480" i="1"/>
  <c r="I480" i="1"/>
  <c r="F480" i="1"/>
  <c r="J480" i="1"/>
  <c r="G480" i="1"/>
  <c r="H480" i="1"/>
  <c r="F123" i="1"/>
  <c r="E123" i="1"/>
  <c r="H123" i="1"/>
  <c r="G123" i="1"/>
  <c r="F269" i="1"/>
  <c r="A329" i="1"/>
  <c r="F329" i="1"/>
  <c r="H329" i="1"/>
  <c r="A20" i="1"/>
  <c r="F20" i="1"/>
  <c r="E20" i="1"/>
  <c r="G33" i="1"/>
  <c r="F33" i="1"/>
  <c r="H33" i="1"/>
  <c r="F43" i="1"/>
  <c r="I43" i="1"/>
  <c r="E43" i="1"/>
  <c r="H43" i="1"/>
  <c r="G43" i="1"/>
  <c r="G329" i="1"/>
  <c r="J20" i="1"/>
  <c r="H340" i="1"/>
  <c r="G340" i="1"/>
  <c r="F340" i="1"/>
  <c r="J363" i="1"/>
  <c r="H363" i="1"/>
  <c r="G363" i="1"/>
  <c r="F363" i="1"/>
  <c r="F339" i="1"/>
  <c r="G339" i="1"/>
  <c r="F352" i="1"/>
  <c r="F304" i="1"/>
  <c r="G282" i="1"/>
  <c r="H247" i="1"/>
  <c r="H362" i="1"/>
  <c r="G362" i="1"/>
  <c r="F362" i="1"/>
  <c r="H195" i="1"/>
  <c r="J195" i="1"/>
  <c r="G195" i="1"/>
  <c r="H194" i="1"/>
  <c r="G194" i="1"/>
  <c r="F194" i="1"/>
  <c r="H52" i="1"/>
  <c r="F52" i="1"/>
  <c r="E52" i="1"/>
  <c r="A52" i="1"/>
  <c r="A430" i="1"/>
  <c r="H430" i="1"/>
  <c r="G430" i="1"/>
  <c r="F430" i="1"/>
  <c r="A407" i="1"/>
  <c r="A63" i="1"/>
  <c r="E63" i="1"/>
  <c r="G63" i="1"/>
  <c r="F63" i="1"/>
  <c r="A80" i="1"/>
  <c r="G80" i="1"/>
  <c r="I80" i="1"/>
  <c r="H80" i="1"/>
  <c r="E80" i="1"/>
  <c r="G79" i="1"/>
  <c r="H79" i="1"/>
  <c r="E79" i="1"/>
  <c r="E105" i="1"/>
  <c r="E91" i="1"/>
  <c r="F91" i="1"/>
  <c r="H91" i="1"/>
  <c r="G407" i="1"/>
  <c r="G294" i="1"/>
  <c r="J294" i="1"/>
  <c r="F294" i="1"/>
  <c r="I115" i="1"/>
  <c r="H115" i="1"/>
  <c r="E115" i="1"/>
  <c r="G115" i="1"/>
  <c r="H77" i="1"/>
  <c r="E77" i="1"/>
  <c r="G77" i="1"/>
  <c r="F283" i="1"/>
  <c r="F80" i="1"/>
  <c r="G52" i="1"/>
  <c r="F231" i="1"/>
  <c r="F79" i="1"/>
  <c r="G126" i="1"/>
  <c r="E126" i="1"/>
  <c r="H126" i="1"/>
  <c r="G103" i="1"/>
  <c r="H103" i="1"/>
  <c r="F103" i="1"/>
  <c r="F416" i="1"/>
  <c r="F78" i="1"/>
  <c r="G50" i="1"/>
  <c r="A450" i="1"/>
  <c r="H307" i="1"/>
  <c r="J307" i="1"/>
  <c r="G307" i="1"/>
  <c r="H114" i="1"/>
  <c r="G114" i="1"/>
  <c r="E114" i="1"/>
  <c r="F114" i="1"/>
  <c r="F77" i="1"/>
  <c r="H493" i="1"/>
  <c r="G493" i="1"/>
  <c r="H306" i="1"/>
  <c r="G306" i="1"/>
  <c r="F89" i="1"/>
  <c r="H89" i="1"/>
  <c r="E89" i="1"/>
  <c r="J317" i="1"/>
  <c r="H317" i="1"/>
  <c r="G317" i="1"/>
  <c r="H305" i="1"/>
  <c r="G305" i="1"/>
  <c r="H102" i="1"/>
  <c r="G102" i="1"/>
  <c r="F102" i="1"/>
  <c r="E187" i="1"/>
  <c r="F187" i="1"/>
  <c r="H187" i="1"/>
  <c r="I187" i="1"/>
  <c r="G147" i="1"/>
  <c r="E147" i="1"/>
  <c r="F147" i="1"/>
  <c r="H147" i="1"/>
  <c r="A124" i="1"/>
  <c r="J459" i="1"/>
  <c r="H459" i="1"/>
  <c r="G459" i="1"/>
  <c r="A316" i="1"/>
  <c r="F451" i="1"/>
  <c r="F317" i="1"/>
  <c r="H303" i="1"/>
  <c r="G303" i="1"/>
  <c r="F303" i="1"/>
  <c r="A303" i="1"/>
  <c r="A158" i="1"/>
  <c r="E158" i="1"/>
  <c r="G158" i="1"/>
  <c r="F158" i="1"/>
  <c r="H122" i="1"/>
  <c r="G122" i="1"/>
  <c r="F122" i="1"/>
  <c r="E122" i="1"/>
  <c r="A122" i="1"/>
  <c r="A44" i="1"/>
  <c r="H44" i="1"/>
  <c r="F44" i="1"/>
  <c r="J44" i="1"/>
  <c r="E44" i="1"/>
  <c r="G44" i="1"/>
  <c r="A212" i="1"/>
  <c r="G212" i="1"/>
  <c r="I212" i="1"/>
  <c r="J212" i="1"/>
  <c r="F212" i="1"/>
  <c r="G157" i="1"/>
  <c r="H157" i="1"/>
  <c r="F157" i="1"/>
  <c r="E157" i="1"/>
  <c r="A33" i="1"/>
  <c r="A314" i="1"/>
  <c r="H314" i="1"/>
  <c r="F314" i="1"/>
  <c r="H144" i="1"/>
  <c r="E144" i="1"/>
  <c r="F144" i="1"/>
  <c r="F307" i="1"/>
  <c r="F126" i="1"/>
  <c r="G328" i="1"/>
  <c r="G187" i="1"/>
  <c r="G397" i="1"/>
  <c r="F397" i="1"/>
  <c r="H397" i="1"/>
  <c r="G431" i="1"/>
  <c r="I431" i="1"/>
  <c r="J431" i="1"/>
  <c r="F431" i="1"/>
  <c r="J384" i="1"/>
  <c r="A363" i="1"/>
  <c r="G351" i="1"/>
  <c r="H351" i="1"/>
  <c r="A339" i="1"/>
  <c r="F235" i="1"/>
  <c r="G235" i="1"/>
  <c r="H235" i="1"/>
  <c r="I195" i="1"/>
  <c r="H66" i="1"/>
  <c r="G66" i="1"/>
  <c r="E66" i="1"/>
  <c r="F66" i="1"/>
  <c r="F351" i="1"/>
  <c r="F115" i="1"/>
  <c r="H111" i="1"/>
  <c r="J338" i="1"/>
  <c r="H338" i="1"/>
  <c r="F338" i="1"/>
  <c r="H243" i="1"/>
  <c r="H207" i="1"/>
  <c r="F207" i="1"/>
  <c r="F426" i="1"/>
  <c r="G426" i="1"/>
  <c r="A218" i="1"/>
  <c r="H218" i="1"/>
  <c r="F218" i="1"/>
  <c r="E110" i="1"/>
  <c r="H99" i="1"/>
  <c r="G99" i="1"/>
  <c r="A446" i="1"/>
  <c r="I446" i="1"/>
  <c r="J446" i="1"/>
  <c r="I337" i="1"/>
  <c r="H337" i="1"/>
  <c r="A110" i="1"/>
  <c r="E88" i="1"/>
  <c r="F88" i="1"/>
  <c r="H228" i="1"/>
  <c r="H256" i="1"/>
  <c r="H166" i="1"/>
  <c r="H98" i="1"/>
  <c r="G98" i="1"/>
  <c r="F98" i="1"/>
  <c r="A487" i="1"/>
  <c r="H487" i="1"/>
  <c r="G487" i="1"/>
  <c r="J487" i="1"/>
  <c r="A166" i="1"/>
  <c r="G437" i="1"/>
  <c r="F437" i="1"/>
  <c r="F372" i="1"/>
  <c r="A350" i="1"/>
  <c r="G350" i="1"/>
  <c r="H350" i="1"/>
  <c r="G207" i="1"/>
  <c r="H372" i="1"/>
  <c r="G404" i="1"/>
  <c r="F404" i="1"/>
  <c r="H348" i="1"/>
  <c r="G348" i="1"/>
  <c r="F348" i="1"/>
  <c r="F217" i="1"/>
  <c r="H154" i="1"/>
  <c r="F154" i="1"/>
  <c r="E154" i="1"/>
  <c r="A382" i="1"/>
  <c r="H257" i="1"/>
  <c r="A206" i="1"/>
  <c r="H206" i="1"/>
  <c r="F206" i="1"/>
  <c r="G206" i="1"/>
  <c r="H179" i="1"/>
  <c r="F179" i="1"/>
  <c r="A154" i="1"/>
  <c r="A88" i="1"/>
  <c r="A13" i="1"/>
  <c r="G13" i="1"/>
  <c r="H415" i="1"/>
  <c r="F289" i="1"/>
  <c r="A278" i="1"/>
  <c r="F278" i="1"/>
  <c r="H227" i="1"/>
  <c r="F227" i="1"/>
  <c r="A142" i="1"/>
  <c r="J120" i="1"/>
  <c r="G120" i="1"/>
  <c r="E120" i="1"/>
  <c r="F120" i="1"/>
  <c r="H109" i="1"/>
  <c r="H403" i="1"/>
  <c r="G403" i="1"/>
  <c r="H255" i="1"/>
  <c r="G97" i="1"/>
  <c r="F97" i="1"/>
  <c r="E97" i="1"/>
  <c r="H47" i="1"/>
  <c r="F11" i="1"/>
  <c r="E47" i="1"/>
  <c r="E13" i="1"/>
  <c r="F259" i="1"/>
  <c r="H278" i="1"/>
  <c r="A443" i="1"/>
  <c r="G432" i="1"/>
  <c r="J411" i="1"/>
  <c r="H411" i="1"/>
  <c r="A344" i="1"/>
  <c r="I331" i="1"/>
  <c r="F321" i="1"/>
  <c r="G321" i="1"/>
  <c r="H309" i="1"/>
  <c r="F309" i="1"/>
  <c r="F250" i="1"/>
  <c r="J236" i="1"/>
  <c r="A213" i="1"/>
  <c r="G213" i="1"/>
  <c r="F176" i="1"/>
  <c r="G176" i="1"/>
  <c r="F150" i="1"/>
  <c r="H150" i="1"/>
  <c r="H139" i="1"/>
  <c r="G139" i="1"/>
  <c r="F34" i="1"/>
  <c r="H34" i="1"/>
  <c r="E34" i="1"/>
  <c r="G34" i="1"/>
  <c r="H23" i="1"/>
  <c r="F23" i="1"/>
  <c r="G7" i="1"/>
  <c r="E7" i="1"/>
  <c r="E75" i="1"/>
  <c r="F360" i="1"/>
  <c r="G445" i="1"/>
  <c r="G227" i="1"/>
  <c r="G152" i="1"/>
  <c r="G390" i="1"/>
  <c r="H390" i="1"/>
  <c r="F322" i="1"/>
  <c r="G322" i="1"/>
  <c r="I322" i="1"/>
  <c r="F297" i="1"/>
  <c r="G297" i="1"/>
  <c r="F152" i="1"/>
  <c r="H152" i="1"/>
  <c r="A119" i="1"/>
  <c r="E119" i="1"/>
  <c r="F119" i="1"/>
  <c r="F24" i="1"/>
  <c r="A390" i="1"/>
  <c r="F369" i="1"/>
  <c r="I369" i="1"/>
  <c r="J369" i="1"/>
  <c r="H287" i="1"/>
  <c r="F287" i="1"/>
  <c r="F214" i="1"/>
  <c r="G151" i="1"/>
  <c r="F151" i="1"/>
  <c r="H151" i="1"/>
  <c r="F35" i="1"/>
  <c r="H35" i="1"/>
  <c r="E35" i="1"/>
  <c r="G35" i="1"/>
  <c r="G338" i="1"/>
  <c r="H88" i="1"/>
  <c r="A475" i="1"/>
  <c r="J454" i="1"/>
  <c r="F454" i="1"/>
  <c r="H454" i="1"/>
  <c r="J423" i="1"/>
  <c r="H423" i="1"/>
  <c r="H286" i="1"/>
  <c r="A225" i="1"/>
  <c r="H225" i="1"/>
  <c r="F225" i="1"/>
  <c r="E189" i="1"/>
  <c r="H189" i="1"/>
  <c r="F189" i="1"/>
  <c r="A130" i="1"/>
  <c r="G57" i="1"/>
  <c r="F57" i="1"/>
  <c r="E57" i="1"/>
  <c r="G415" i="1"/>
  <c r="G337" i="1"/>
  <c r="H446" i="1"/>
  <c r="H87" i="1"/>
  <c r="J433" i="1"/>
  <c r="A276" i="1"/>
  <c r="H276" i="1"/>
  <c r="F251" i="1"/>
  <c r="A189" i="1"/>
  <c r="A83" i="1"/>
  <c r="F83" i="1"/>
  <c r="E109" i="1"/>
  <c r="G228" i="1"/>
  <c r="G154" i="1"/>
  <c r="G74" i="1"/>
  <c r="A485" i="1"/>
  <c r="H485" i="1"/>
  <c r="G485" i="1"/>
  <c r="H494" i="1"/>
  <c r="G494" i="1"/>
  <c r="H484" i="1"/>
  <c r="G484" i="1"/>
  <c r="A474" i="1"/>
  <c r="F453" i="1"/>
  <c r="A453" i="1"/>
  <c r="F442" i="1"/>
  <c r="H442" i="1"/>
  <c r="H422" i="1"/>
  <c r="F400" i="1"/>
  <c r="A400" i="1"/>
  <c r="H343" i="1"/>
  <c r="F343" i="1"/>
  <c r="G331" i="1"/>
  <c r="A320" i="1"/>
  <c r="H308" i="1"/>
  <c r="F308" i="1"/>
  <c r="G295" i="1"/>
  <c r="H285" i="1"/>
  <c r="F275" i="1"/>
  <c r="H275" i="1"/>
  <c r="H224" i="1"/>
  <c r="F202" i="1"/>
  <c r="G202" i="1"/>
  <c r="A56" i="1"/>
  <c r="G56" i="1"/>
  <c r="F56" i="1"/>
  <c r="F391" i="1"/>
  <c r="F285" i="1"/>
  <c r="F99" i="1"/>
  <c r="G372" i="1"/>
  <c r="G189" i="1"/>
  <c r="G150" i="1"/>
  <c r="G23" i="1"/>
  <c r="H217" i="1"/>
  <c r="H176" i="1"/>
  <c r="A259" i="1"/>
  <c r="H259" i="1"/>
  <c r="H100" i="1"/>
  <c r="I405" i="1"/>
  <c r="J405" i="1"/>
  <c r="G405" i="1"/>
  <c r="F405" i="1"/>
  <c r="G349" i="1"/>
  <c r="H349" i="1"/>
  <c r="H258" i="1"/>
  <c r="J229" i="1"/>
  <c r="H229" i="1"/>
  <c r="H457" i="1"/>
  <c r="G457" i="1"/>
  <c r="I457" i="1"/>
  <c r="A426" i="1"/>
  <c r="H268" i="1"/>
  <c r="G268" i="1"/>
  <c r="A193" i="1"/>
  <c r="A167" i="1"/>
  <c r="H167" i="1"/>
  <c r="G121" i="1"/>
  <c r="F121" i="1"/>
  <c r="A75" i="1"/>
  <c r="H75" i="1"/>
  <c r="A27" i="1"/>
  <c r="G27" i="1"/>
  <c r="F446" i="1"/>
  <c r="G243" i="1"/>
  <c r="H193" i="1"/>
  <c r="H436" i="1"/>
  <c r="G436" i="1"/>
  <c r="F436" i="1"/>
  <c r="F371" i="1"/>
  <c r="H74" i="1"/>
  <c r="J435" i="1"/>
  <c r="H435" i="1"/>
  <c r="F435" i="1"/>
  <c r="F110" i="1"/>
  <c r="A456" i="1"/>
  <c r="H456" i="1"/>
  <c r="G456" i="1"/>
  <c r="I381" i="1"/>
  <c r="A267" i="1"/>
  <c r="G267" i="1"/>
  <c r="H267" i="1"/>
  <c r="A227" i="1"/>
  <c r="A131" i="1"/>
  <c r="F131" i="1"/>
  <c r="E87" i="1"/>
  <c r="F87" i="1"/>
  <c r="F109" i="1"/>
  <c r="H142" i="1"/>
  <c r="F497" i="1"/>
  <c r="J497" i="1"/>
  <c r="H497" i="1"/>
  <c r="A476" i="1"/>
  <c r="A466" i="1"/>
  <c r="F466" i="1"/>
  <c r="G466" i="1"/>
  <c r="A445" i="1"/>
  <c r="G413" i="1"/>
  <c r="A298" i="1"/>
  <c r="F298" i="1"/>
  <c r="J298" i="1"/>
  <c r="I277" i="1"/>
  <c r="H239" i="1"/>
  <c r="G239" i="1"/>
  <c r="A191" i="1"/>
  <c r="H191" i="1"/>
  <c r="F178" i="1"/>
  <c r="H153" i="1"/>
  <c r="G153" i="1"/>
  <c r="F153" i="1"/>
  <c r="A153" i="1"/>
  <c r="E153" i="1"/>
  <c r="H108" i="1"/>
  <c r="G108" i="1"/>
  <c r="I37" i="1"/>
  <c r="H37" i="1"/>
  <c r="J25" i="1"/>
  <c r="F25" i="1"/>
  <c r="F10" i="1"/>
  <c r="E12" i="1"/>
  <c r="F403" i="1"/>
  <c r="F258" i="1"/>
  <c r="F142" i="1"/>
  <c r="F108" i="1"/>
  <c r="G382" i="1"/>
  <c r="H405" i="1"/>
  <c r="H277" i="1"/>
  <c r="J153" i="1"/>
  <c r="H496" i="1"/>
  <c r="G496" i="1"/>
  <c r="H288" i="1"/>
  <c r="F288" i="1"/>
  <c r="A277" i="1"/>
  <c r="E190" i="1"/>
  <c r="H190" i="1"/>
  <c r="H141" i="1"/>
  <c r="A10" i="1"/>
  <c r="E11" i="1"/>
  <c r="F257" i="1"/>
  <c r="F141" i="1"/>
  <c r="F27" i="1"/>
  <c r="G381" i="1"/>
  <c r="G37" i="1"/>
  <c r="H404" i="1"/>
  <c r="H322" i="1"/>
  <c r="H133" i="1"/>
  <c r="H486" i="1"/>
  <c r="G486" i="1"/>
  <c r="A322" i="1"/>
  <c r="A266" i="1"/>
  <c r="H266" i="1"/>
  <c r="G266" i="1"/>
  <c r="F177" i="1"/>
  <c r="J177" i="1"/>
  <c r="A165" i="1"/>
  <c r="H165" i="1"/>
  <c r="F130" i="1"/>
  <c r="G130" i="1"/>
  <c r="A24" i="1"/>
  <c r="F256" i="1"/>
  <c r="G380" i="1"/>
  <c r="H360" i="1"/>
  <c r="H132" i="1"/>
  <c r="F465" i="1"/>
  <c r="G465" i="1"/>
  <c r="H412" i="1"/>
  <c r="G412" i="1"/>
  <c r="J332" i="1"/>
  <c r="G332" i="1"/>
  <c r="A310" i="1"/>
  <c r="H310" i="1"/>
  <c r="F310" i="1"/>
  <c r="G296" i="1"/>
  <c r="F252" i="1"/>
  <c r="F203" i="1"/>
  <c r="G203" i="1"/>
  <c r="G9" i="1"/>
  <c r="F9" i="1"/>
  <c r="E9" i="1"/>
  <c r="F255" i="1"/>
  <c r="G229" i="1"/>
  <c r="H131" i="1"/>
  <c r="H495" i="1"/>
  <c r="G495" i="1"/>
  <c r="A465" i="1"/>
  <c r="F443" i="1"/>
  <c r="I443" i="1"/>
  <c r="J443" i="1"/>
  <c r="A401" i="1"/>
  <c r="H401" i="1"/>
  <c r="A367" i="1"/>
  <c r="I367" i="1"/>
  <c r="J367" i="1"/>
  <c r="G367" i="1"/>
  <c r="J344" i="1"/>
  <c r="H344" i="1"/>
  <c r="F344" i="1"/>
  <c r="I265" i="1"/>
  <c r="G265" i="1"/>
  <c r="H265" i="1"/>
  <c r="A237" i="1"/>
  <c r="G237" i="1"/>
  <c r="I237" i="1"/>
  <c r="J237" i="1"/>
  <c r="A203" i="1"/>
  <c r="H140" i="1"/>
  <c r="G140" i="1"/>
  <c r="A69" i="1"/>
  <c r="G69" i="1"/>
  <c r="F69" i="1"/>
  <c r="H69" i="1"/>
  <c r="H45" i="1"/>
  <c r="A8" i="1"/>
  <c r="G8" i="1"/>
  <c r="E8" i="1"/>
  <c r="G446" i="1"/>
  <c r="H445" i="1"/>
  <c r="H421" i="1"/>
  <c r="I354" i="1"/>
  <c r="H319" i="1"/>
  <c r="A236" i="1"/>
  <c r="F236" i="1"/>
  <c r="G236" i="1"/>
  <c r="F201" i="1"/>
  <c r="H188" i="1"/>
  <c r="F188" i="1"/>
  <c r="E188" i="1"/>
  <c r="H128" i="1"/>
  <c r="G128" i="1"/>
  <c r="F82" i="1"/>
  <c r="H82" i="1"/>
  <c r="A68" i="1"/>
  <c r="G68" i="1"/>
  <c r="F68" i="1"/>
  <c r="H68" i="1"/>
  <c r="G55" i="1"/>
  <c r="A55" i="1"/>
  <c r="F55" i="1"/>
  <c r="A6" i="1"/>
  <c r="E179" i="1"/>
  <c r="E142" i="1"/>
  <c r="F390" i="1"/>
  <c r="G443" i="1"/>
  <c r="G371" i="1"/>
  <c r="G298" i="1"/>
  <c r="G259" i="1"/>
  <c r="G225" i="1"/>
  <c r="G188" i="1"/>
  <c r="G110" i="1"/>
  <c r="H83" i="1"/>
  <c r="H27" i="1"/>
  <c r="A326" i="1"/>
  <c r="A261" i="1"/>
  <c r="F261" i="1"/>
  <c r="G96" i="1"/>
  <c r="F96" i="1"/>
  <c r="A30" i="1"/>
  <c r="G30" i="1"/>
  <c r="H409" i="1"/>
  <c r="F71" i="1"/>
  <c r="G71" i="1"/>
  <c r="G29" i="1"/>
  <c r="H72" i="1"/>
  <c r="A370" i="1"/>
  <c r="J290" i="1"/>
  <c r="H129" i="1"/>
  <c r="G129" i="1"/>
  <c r="F129" i="1"/>
  <c r="H48" i="1"/>
  <c r="A39" i="1"/>
  <c r="E39" i="1"/>
  <c r="H28" i="1"/>
  <c r="E30" i="1"/>
  <c r="G138" i="1"/>
  <c r="G70" i="1"/>
  <c r="G28" i="1"/>
  <c r="H71" i="1"/>
  <c r="J271" i="1"/>
  <c r="G40" i="1"/>
  <c r="E40" i="1"/>
  <c r="I419" i="1"/>
  <c r="J419" i="1"/>
  <c r="F419" i="1"/>
  <c r="G270" i="1"/>
  <c r="G173" i="1"/>
  <c r="H173" i="1"/>
  <c r="E173" i="1"/>
  <c r="H49" i="1"/>
  <c r="H17" i="1"/>
  <c r="F17" i="1"/>
  <c r="E96" i="1"/>
  <c r="H458" i="1"/>
  <c r="G458" i="1"/>
  <c r="J448" i="1"/>
  <c r="A419" i="1"/>
  <c r="J408" i="1"/>
  <c r="A389" i="1"/>
  <c r="G389" i="1"/>
  <c r="J378" i="1"/>
  <c r="J279" i="1"/>
  <c r="A270" i="1"/>
  <c r="A198" i="1"/>
  <c r="H198" i="1"/>
  <c r="G198" i="1"/>
  <c r="A184" i="1"/>
  <c r="E184" i="1"/>
  <c r="G184" i="1"/>
  <c r="H148" i="1"/>
  <c r="G148" i="1"/>
  <c r="A488" i="1"/>
  <c r="G488" i="1"/>
  <c r="A468" i="1"/>
  <c r="A458" i="1"/>
  <c r="A418" i="1"/>
  <c r="F418" i="1"/>
  <c r="I408" i="1"/>
  <c r="A358" i="1"/>
  <c r="F323" i="1"/>
  <c r="I323" i="1"/>
  <c r="G323" i="1"/>
  <c r="H311" i="1"/>
  <c r="F299" i="1"/>
  <c r="I279" i="1"/>
  <c r="G245" i="1"/>
  <c r="A232" i="1"/>
  <c r="H232" i="1"/>
  <c r="H220" i="1"/>
  <c r="G220" i="1"/>
  <c r="H172" i="1"/>
  <c r="G172" i="1"/>
  <c r="E172" i="1"/>
  <c r="E159" i="1"/>
  <c r="G159" i="1"/>
  <c r="A148" i="1"/>
  <c r="A138" i="1"/>
  <c r="A118" i="1"/>
  <c r="A48" i="1"/>
  <c r="E38" i="1"/>
  <c r="A28" i="1"/>
  <c r="F498" i="1"/>
  <c r="F468" i="1"/>
  <c r="F246" i="1"/>
  <c r="F148" i="1"/>
  <c r="F118" i="1"/>
  <c r="A499" i="1"/>
  <c r="H499" i="1"/>
  <c r="I499" i="1"/>
  <c r="J499" i="1"/>
  <c r="H469" i="1"/>
  <c r="G174" i="1"/>
  <c r="H174" i="1"/>
  <c r="E174" i="1"/>
  <c r="F149" i="1"/>
  <c r="A18" i="1"/>
  <c r="G72" i="1"/>
  <c r="A439" i="1"/>
  <c r="H439" i="1"/>
  <c r="J399" i="1"/>
  <c r="F399" i="1"/>
  <c r="A379" i="1"/>
  <c r="H379" i="1"/>
  <c r="H233" i="1"/>
  <c r="F233" i="1"/>
  <c r="G210" i="1"/>
  <c r="H210" i="1"/>
  <c r="E160" i="1"/>
  <c r="A59" i="1"/>
  <c r="F59" i="1"/>
  <c r="F467" i="1"/>
  <c r="A448" i="1"/>
  <c r="A408" i="1"/>
  <c r="H408" i="1"/>
  <c r="A388" i="1"/>
  <c r="H388" i="1"/>
  <c r="G388" i="1"/>
  <c r="G378" i="1"/>
  <c r="H378" i="1"/>
  <c r="I333" i="1"/>
  <c r="J333" i="1"/>
  <c r="A290" i="1"/>
  <c r="H290" i="1"/>
  <c r="A279" i="1"/>
  <c r="E183" i="1"/>
  <c r="G183" i="1"/>
  <c r="I183" i="1"/>
  <c r="H171" i="1"/>
  <c r="F70" i="1"/>
  <c r="F58" i="1"/>
  <c r="E14" i="1"/>
  <c r="G14" i="1"/>
  <c r="F14" i="1"/>
  <c r="G233" i="1"/>
  <c r="H30" i="1"/>
  <c r="A481" i="1"/>
  <c r="J481" i="1"/>
  <c r="A444" i="1"/>
  <c r="J357" i="1"/>
  <c r="A347" i="1"/>
  <c r="H347" i="1"/>
  <c r="F347" i="1"/>
  <c r="H336" i="1"/>
  <c r="A273" i="1"/>
  <c r="F273" i="1"/>
  <c r="J273" i="1"/>
  <c r="J249" i="1"/>
  <c r="J226" i="1"/>
  <c r="H205" i="1"/>
  <c r="A127" i="1"/>
  <c r="H127" i="1"/>
  <c r="G127" i="1"/>
  <c r="A107" i="1"/>
  <c r="H107" i="1"/>
  <c r="F107" i="1"/>
  <c r="A51" i="1"/>
  <c r="A42" i="1"/>
  <c r="G42" i="1"/>
  <c r="F481" i="1"/>
  <c r="F181" i="1"/>
  <c r="H3" i="1"/>
  <c r="A490" i="1"/>
  <c r="J490" i="1"/>
  <c r="F490" i="1"/>
  <c r="J470" i="1"/>
  <c r="A462" i="1"/>
  <c r="G414" i="1"/>
  <c r="A377" i="1"/>
  <c r="I357" i="1"/>
  <c r="H335" i="1"/>
  <c r="J204" i="1"/>
  <c r="H146" i="1"/>
  <c r="G146" i="1"/>
  <c r="H136" i="1"/>
  <c r="E136" i="1"/>
  <c r="G41" i="1"/>
  <c r="A32" i="1"/>
  <c r="G32" i="1"/>
  <c r="A4" i="1"/>
  <c r="H4" i="1"/>
  <c r="E146" i="1"/>
  <c r="F180" i="1"/>
  <c r="F42" i="1"/>
  <c r="G238" i="1"/>
  <c r="H377" i="1"/>
  <c r="F489" i="1"/>
  <c r="H346" i="1"/>
  <c r="F346" i="1"/>
  <c r="J312" i="1"/>
  <c r="A249" i="1"/>
  <c r="F249" i="1"/>
  <c r="H226" i="1"/>
  <c r="F226" i="1"/>
  <c r="G94" i="1"/>
  <c r="H73" i="1"/>
  <c r="E61" i="1"/>
  <c r="F425" i="1"/>
  <c r="F368" i="1"/>
  <c r="F41" i="1"/>
  <c r="G291" i="1"/>
  <c r="H273" i="1"/>
  <c r="H204" i="1"/>
  <c r="H482" i="1"/>
  <c r="I464" i="1"/>
  <c r="J438" i="1"/>
  <c r="I410" i="1"/>
  <c r="I402" i="1"/>
  <c r="J383" i="1"/>
  <c r="J345" i="1"/>
  <c r="A334" i="1"/>
  <c r="I325" i="1"/>
  <c r="I313" i="1"/>
  <c r="A242" i="1"/>
  <c r="H242" i="1"/>
  <c r="I230" i="1"/>
  <c r="A143" i="1"/>
  <c r="E64" i="1"/>
  <c r="E16" i="1"/>
  <c r="F491" i="1"/>
  <c r="G366" i="1"/>
  <c r="G15" i="1"/>
  <c r="J324" i="1"/>
  <c r="A254" i="1"/>
  <c r="I241" i="1"/>
  <c r="E15" i="1"/>
  <c r="F394" i="1"/>
  <c r="F274" i="1"/>
  <c r="F106" i="1"/>
  <c r="G197" i="1"/>
  <c r="G95" i="1"/>
  <c r="H402" i="1"/>
  <c r="H197" i="1"/>
  <c r="A472" i="1"/>
  <c r="A410" i="1"/>
  <c r="A324" i="1"/>
  <c r="A302" i="1"/>
  <c r="A219" i="1"/>
  <c r="A76" i="1"/>
  <c r="H76" i="1"/>
  <c r="H26" i="1"/>
  <c r="E86" i="1"/>
  <c r="F345" i="1"/>
  <c r="G292" i="1"/>
  <c r="G196" i="1"/>
  <c r="H455" i="1"/>
  <c r="H254" i="1"/>
  <c r="H15" i="1"/>
  <c r="I362" i="1"/>
  <c r="A255" i="1"/>
  <c r="I255" i="1"/>
  <c r="J255" i="1"/>
  <c r="I477" i="1"/>
  <c r="J477" i="1"/>
  <c r="I455" i="1"/>
  <c r="J455" i="1"/>
  <c r="I308" i="1"/>
  <c r="J308" i="1"/>
  <c r="A308" i="1"/>
  <c r="I442" i="1"/>
  <c r="J442" i="1"/>
  <c r="A442" i="1"/>
  <c r="A393" i="1"/>
  <c r="I393" i="1"/>
  <c r="J393" i="1"/>
  <c r="A368" i="1"/>
  <c r="I380" i="1"/>
  <c r="J380" i="1"/>
  <c r="A380" i="1"/>
  <c r="A115" i="1"/>
  <c r="I484" i="1"/>
  <c r="J484" i="1"/>
  <c r="I319" i="1"/>
  <c r="J319" i="1"/>
  <c r="A319" i="1"/>
  <c r="I222" i="1"/>
  <c r="J222" i="1"/>
  <c r="A222" i="1"/>
  <c r="I429" i="1"/>
  <c r="J429" i="1"/>
  <c r="A103" i="1"/>
  <c r="A429" i="1"/>
  <c r="A348" i="1"/>
  <c r="A252" i="1"/>
  <c r="I252" i="1"/>
  <c r="J252" i="1"/>
  <c r="A200" i="1"/>
  <c r="I200" i="1"/>
  <c r="J200" i="1"/>
  <c r="J362" i="1"/>
  <c r="J404" i="1"/>
  <c r="I404" i="1"/>
  <c r="A404" i="1"/>
  <c r="I491" i="1"/>
  <c r="J491" i="1"/>
  <c r="A491" i="1"/>
  <c r="I479" i="1"/>
  <c r="J479" i="1"/>
  <c r="A479" i="1"/>
  <c r="A415" i="1"/>
  <c r="I415" i="1"/>
  <c r="J415" i="1"/>
  <c r="A352" i="1"/>
  <c r="I246" i="1"/>
  <c r="J246" i="1"/>
  <c r="A246" i="1"/>
  <c r="I334" i="1"/>
  <c r="J334" i="1"/>
  <c r="I286" i="1"/>
  <c r="J286" i="1"/>
  <c r="A286" i="1"/>
  <c r="A496" i="1"/>
  <c r="A484" i="1"/>
  <c r="I437" i="1"/>
  <c r="J437" i="1"/>
  <c r="A437" i="1"/>
  <c r="J457" i="1"/>
  <c r="A457" i="1"/>
  <c r="A196" i="1"/>
  <c r="I196" i="1"/>
  <c r="J196" i="1"/>
  <c r="A186" i="1"/>
  <c r="A99" i="1"/>
  <c r="J452" i="1"/>
  <c r="A452" i="1"/>
  <c r="I418" i="1"/>
  <c r="J418" i="1"/>
  <c r="A304" i="1"/>
  <c r="A362" i="1"/>
  <c r="A19" i="1"/>
  <c r="A396" i="1"/>
  <c r="I396" i="1"/>
  <c r="J396" i="1"/>
  <c r="I460" i="1"/>
  <c r="J460" i="1"/>
  <c r="I368" i="1"/>
  <c r="J368" i="1"/>
  <c r="I467" i="1"/>
  <c r="J467" i="1"/>
  <c r="A467" i="1"/>
  <c r="I452" i="1"/>
  <c r="J387" i="1"/>
  <c r="I387" i="1"/>
  <c r="J304" i="1"/>
  <c r="I320" i="1"/>
  <c r="J320" i="1"/>
  <c r="I304" i="1"/>
  <c r="I301" i="1"/>
  <c r="A301" i="1"/>
  <c r="J301" i="1"/>
  <c r="J283" i="1"/>
  <c r="I283" i="1"/>
  <c r="A84" i="1"/>
  <c r="A151" i="1"/>
  <c r="I348" i="1"/>
  <c r="J348" i="1"/>
  <c r="I472" i="1"/>
  <c r="J472" i="1"/>
  <c r="J447" i="1"/>
  <c r="A447" i="1"/>
  <c r="J489" i="1"/>
  <c r="I489" i="1"/>
  <c r="A460" i="1"/>
  <c r="I327" i="1"/>
  <c r="J327" i="1"/>
  <c r="A283" i="1"/>
  <c r="I496" i="1"/>
  <c r="J496" i="1"/>
  <c r="A112" i="1"/>
  <c r="A432" i="1"/>
  <c r="I432" i="1"/>
  <c r="J432" i="1"/>
  <c r="A387" i="1"/>
  <c r="I300" i="1"/>
  <c r="J300" i="1"/>
  <c r="A300" i="1"/>
  <c r="I272" i="1"/>
  <c r="J272" i="1"/>
  <c r="A174" i="1"/>
  <c r="A272" i="1"/>
  <c r="A486" i="1"/>
  <c r="I229" i="1"/>
  <c r="A229" i="1"/>
  <c r="A464" i="1"/>
  <c r="A340" i="1"/>
  <c r="J299" i="1"/>
  <c r="A307" i="1"/>
  <c r="A79" i="1"/>
  <c r="A315" i="1"/>
  <c r="I199" i="1"/>
  <c r="A199" i="1"/>
  <c r="A392" i="1"/>
  <c r="A469" i="1"/>
  <c r="A240" i="1"/>
  <c r="I240" i="1"/>
  <c r="J240" i="1"/>
  <c r="A459" i="1"/>
  <c r="A449" i="1"/>
  <c r="A428" i="1"/>
  <c r="A406" i="1"/>
  <c r="I385" i="1"/>
  <c r="J385" i="1"/>
  <c r="A373" i="1"/>
  <c r="A265" i="1"/>
  <c r="A245" i="1"/>
  <c r="I412" i="1"/>
  <c r="A23" i="1"/>
  <c r="A409" i="1"/>
  <c r="I268" i="1"/>
  <c r="I318" i="1"/>
  <c r="A74" i="1"/>
  <c r="I343" i="1"/>
  <c r="J343" i="1"/>
  <c r="A163" i="1"/>
  <c r="I400" i="1"/>
  <c r="A318" i="1"/>
  <c r="A299" i="1"/>
  <c r="I271" i="1"/>
  <c r="A171" i="1"/>
  <c r="A145" i="1"/>
  <c r="A95" i="1"/>
  <c r="A250" i="1"/>
  <c r="I250" i="1"/>
  <c r="J250" i="1"/>
  <c r="A36" i="1"/>
  <c r="A365" i="1"/>
  <c r="A498" i="1"/>
  <c r="A423" i="1"/>
  <c r="J428" i="1"/>
  <c r="A87" i="1"/>
  <c r="A268" i="1"/>
  <c r="A500" i="1"/>
  <c r="A495" i="1"/>
  <c r="A483" i="1"/>
  <c r="A471" i="1"/>
  <c r="A343" i="1"/>
  <c r="I335" i="1"/>
  <c r="J335" i="1"/>
  <c r="A271" i="1"/>
  <c r="I239" i="1"/>
  <c r="J239" i="1"/>
  <c r="A216" i="1"/>
  <c r="A40" i="1"/>
  <c r="A31" i="1"/>
  <c r="A355" i="1"/>
  <c r="A374" i="1"/>
  <c r="I220" i="1"/>
  <c r="J220" i="1"/>
  <c r="A434" i="1"/>
  <c r="I197" i="1"/>
  <c r="J197" i="1"/>
  <c r="A133" i="1"/>
  <c r="A129" i="1"/>
  <c r="A26" i="1"/>
  <c r="A16" i="1"/>
  <c r="A159" i="1"/>
  <c r="A123" i="1"/>
  <c r="A351" i="1"/>
  <c r="I482" i="1"/>
  <c r="A478" i="1"/>
  <c r="I470" i="1"/>
  <c r="A461" i="1"/>
  <c r="A451" i="1"/>
  <c r="A441" i="1"/>
  <c r="I435" i="1"/>
  <c r="A433" i="1"/>
  <c r="A425" i="1"/>
  <c r="A422" i="1"/>
  <c r="I413" i="1"/>
  <c r="A411" i="1"/>
  <c r="I399" i="1"/>
  <c r="A397" i="1"/>
  <c r="A391" i="1"/>
  <c r="I375" i="1"/>
  <c r="A360" i="1"/>
  <c r="I345" i="1"/>
  <c r="I324" i="1"/>
  <c r="A317" i="1"/>
  <c r="I317" i="1"/>
  <c r="A296" i="1"/>
  <c r="I440" i="1"/>
  <c r="J424" i="1"/>
  <c r="J421" i="1"/>
  <c r="J416" i="1"/>
  <c r="A335" i="1"/>
  <c r="A332" i="1"/>
  <c r="I253" i="1"/>
  <c r="J253" i="1"/>
  <c r="A239" i="1"/>
  <c r="I282" i="1"/>
  <c r="A282" i="1"/>
  <c r="J233" i="1"/>
  <c r="A412" i="1"/>
  <c r="A233" i="1"/>
  <c r="A217" i="1"/>
  <c r="A493" i="1"/>
  <c r="A436" i="1"/>
  <c r="I494" i="1"/>
  <c r="A473" i="1"/>
  <c r="I349" i="1"/>
  <c r="A349" i="1"/>
  <c r="J349" i="1"/>
  <c r="A321" i="1"/>
  <c r="I294" i="1"/>
  <c r="A288" i="1"/>
  <c r="I256" i="1"/>
  <c r="J256" i="1"/>
  <c r="A243" i="1"/>
  <c r="I243" i="1"/>
  <c r="J243" i="1"/>
  <c r="A197" i="1"/>
  <c r="A162" i="1"/>
  <c r="A156" i="1"/>
  <c r="A141" i="1"/>
  <c r="I351" i="1"/>
  <c r="A312" i="1"/>
  <c r="A337" i="1"/>
  <c r="I289" i="1"/>
  <c r="J289" i="1"/>
  <c r="A220" i="1"/>
  <c r="I232" i="1"/>
  <c r="A454" i="1"/>
  <c r="A289" i="1"/>
  <c r="A497" i="1"/>
  <c r="I421" i="1"/>
  <c r="A427" i="1"/>
  <c r="A372" i="1"/>
  <c r="A369" i="1"/>
  <c r="I356" i="1"/>
  <c r="J356" i="1"/>
  <c r="I342" i="1"/>
  <c r="A342" i="1"/>
  <c r="I316" i="1"/>
  <c r="J316" i="1"/>
  <c r="I305" i="1"/>
  <c r="J305" i="1"/>
  <c r="I210" i="1"/>
  <c r="J210" i="1"/>
  <c r="A170" i="1"/>
  <c r="A144" i="1"/>
  <c r="A100" i="1"/>
  <c r="A47" i="1"/>
  <c r="J323" i="1"/>
  <c r="A323" i="1"/>
  <c r="I259" i="1"/>
  <c r="I392" i="1"/>
  <c r="J392" i="1"/>
  <c r="A262" i="1"/>
  <c r="A190" i="1"/>
  <c r="A285" i="1"/>
  <c r="A207" i="1"/>
  <c r="I207" i="1"/>
  <c r="J207" i="1"/>
  <c r="A416" i="1"/>
  <c r="A405" i="1"/>
  <c r="A297" i="1"/>
  <c r="I297" i="1"/>
  <c r="J297" i="1"/>
  <c r="I280" i="1"/>
  <c r="A256" i="1"/>
  <c r="A253" i="1"/>
  <c r="A201" i="1"/>
  <c r="I201" i="1"/>
  <c r="J201" i="1"/>
  <c r="A43" i="1"/>
  <c r="A209" i="1"/>
  <c r="A177" i="1"/>
  <c r="A182" i="1"/>
  <c r="A386" i="1"/>
  <c r="J440" i="1"/>
  <c r="I424" i="1"/>
  <c r="A345" i="1"/>
  <c r="A338" i="1"/>
  <c r="I338" i="1"/>
  <c r="A223" i="1"/>
  <c r="I223" i="1"/>
  <c r="A214" i="1"/>
  <c r="I214" i="1"/>
  <c r="J214" i="1"/>
  <c r="A179" i="1"/>
  <c r="I361" i="1"/>
  <c r="J361" i="1"/>
  <c r="I217" i="1"/>
  <c r="J217" i="1"/>
  <c r="A111" i="1"/>
  <c r="A398" i="1"/>
  <c r="I373" i="1"/>
  <c r="J373" i="1"/>
  <c r="A185" i="1"/>
  <c r="I258" i="1"/>
  <c r="J258" i="1"/>
  <c r="A258" i="1"/>
  <c r="A403" i="1"/>
  <c r="A336" i="1"/>
  <c r="I336" i="1"/>
  <c r="A384" i="1"/>
  <c r="A381" i="1"/>
  <c r="A356" i="1"/>
  <c r="A331" i="1"/>
  <c r="J315" i="1"/>
  <c r="A305" i="1"/>
  <c r="J296" i="1"/>
  <c r="A226" i="1"/>
  <c r="A210" i="1"/>
  <c r="A108" i="1"/>
  <c r="A71" i="1"/>
  <c r="I309" i="1"/>
  <c r="I298" i="1"/>
  <c r="I251" i="1"/>
  <c r="J241" i="1"/>
  <c r="J205" i="1"/>
  <c r="A98" i="1"/>
  <c r="A5" i="1"/>
  <c r="I388" i="1"/>
  <c r="I376" i="1"/>
  <c r="I364" i="1"/>
  <c r="J341" i="1"/>
  <c r="J325" i="1"/>
  <c r="J306" i="1"/>
  <c r="I287" i="1"/>
  <c r="I270" i="1"/>
  <c r="J270" i="1"/>
  <c r="J257" i="1"/>
  <c r="J228" i="1"/>
  <c r="I215" i="1"/>
  <c r="J215" i="1"/>
  <c r="J202" i="1"/>
  <c r="A78" i="1"/>
  <c r="J251" i="1"/>
  <c r="A235" i="1"/>
  <c r="I235" i="1"/>
  <c r="A132" i="1"/>
  <c r="A97" i="1"/>
  <c r="A61" i="1"/>
  <c r="A17" i="1"/>
  <c r="I359" i="1"/>
  <c r="J346" i="1"/>
  <c r="J322" i="1"/>
  <c r="A264" i="1"/>
  <c r="I244" i="1"/>
  <c r="A238" i="1"/>
  <c r="I221" i="1"/>
  <c r="I208" i="1"/>
  <c r="I194" i="1"/>
  <c r="J168" i="1"/>
  <c r="A147" i="1"/>
  <c r="A121" i="1"/>
  <c r="A50" i="1"/>
  <c r="A309" i="1"/>
  <c r="J287" i="1"/>
  <c r="A188" i="1"/>
  <c r="A173" i="1"/>
  <c r="I306" i="1"/>
  <c r="A251" i="1"/>
  <c r="A228" i="1"/>
  <c r="A205" i="1"/>
  <c r="I205" i="1"/>
  <c r="A157" i="1"/>
  <c r="A90" i="1"/>
  <c r="A9" i="1"/>
  <c r="I234" i="1"/>
  <c r="J234" i="1"/>
  <c r="A180" i="1"/>
  <c r="A287" i="1"/>
  <c r="A202" i="1"/>
  <c r="J194" i="1"/>
  <c r="A21" i="1"/>
  <c r="A333" i="1"/>
  <c r="A306" i="1"/>
  <c r="J263" i="1"/>
  <c r="A257" i="1"/>
  <c r="A241" i="1"/>
  <c r="A172" i="1"/>
  <c r="A139" i="1"/>
  <c r="A117" i="1"/>
  <c r="A89" i="1"/>
  <c r="I72" i="1"/>
  <c r="A72" i="1"/>
  <c r="A60" i="1"/>
  <c r="A57" i="1"/>
  <c r="I330" i="1"/>
  <c r="A325" i="1"/>
  <c r="J311" i="1"/>
  <c r="A234" i="1"/>
  <c r="I227" i="1"/>
  <c r="J227" i="1"/>
  <c r="A221" i="1"/>
  <c r="A187" i="1"/>
  <c r="A120" i="1"/>
  <c r="A109" i="1"/>
  <c r="A101" i="1"/>
  <c r="A64" i="1"/>
  <c r="A37" i="1"/>
  <c r="A12" i="1"/>
  <c r="A359" i="1"/>
  <c r="A354" i="1"/>
  <c r="A295" i="1"/>
  <c r="J275" i="1"/>
  <c r="A247" i="1"/>
  <c r="I247" i="1"/>
  <c r="A211" i="1"/>
  <c r="I211" i="1"/>
  <c r="A194" i="1"/>
  <c r="A183" i="1"/>
  <c r="A168" i="1"/>
  <c r="A160" i="1"/>
  <c r="A135" i="1"/>
  <c r="A96" i="1"/>
  <c r="I204" i="1"/>
  <c r="J198" i="1"/>
  <c r="A102" i="1"/>
  <c r="A73" i="1"/>
  <c r="A176" i="1"/>
  <c r="A29" i="1"/>
  <c r="A164" i="1"/>
  <c r="A66" i="1"/>
  <c r="A11" i="1"/>
  <c r="A85" i="1"/>
  <c r="A49" i="1"/>
  <c r="A195" i="1"/>
  <c r="A181" i="1"/>
  <c r="A161" i="1"/>
  <c r="A104" i="1"/>
  <c r="I65" i="1"/>
  <c r="J65" i="1"/>
  <c r="I192" i="1"/>
  <c r="A35" i="1"/>
  <c r="A25" i="1"/>
  <c r="A178" i="1"/>
  <c r="A152" i="1"/>
  <c r="A149" i="1"/>
  <c r="A140" i="1"/>
  <c r="A137" i="1"/>
  <c r="A128" i="1"/>
  <c r="A125" i="1"/>
  <c r="A116" i="1"/>
  <c r="A113" i="1"/>
  <c r="A192" i="1"/>
  <c r="A169" i="1"/>
  <c r="E2" i="6"/>
  <c r="G2" i="4" l="1" a="1"/>
  <c r="G2" i="4" s="1"/>
  <c r="C189" i="1" a="1"/>
  <c r="C189" i="1" s="1"/>
  <c r="F267" i="6" s="1"/>
  <c r="G267" i="6" s="1"/>
  <c r="J169" i="1"/>
  <c r="I116" i="1"/>
  <c r="J78" i="1"/>
  <c r="I191" i="1"/>
  <c r="I83" i="1"/>
  <c r="J179" i="1"/>
  <c r="J178" i="1"/>
  <c r="J145" i="1"/>
  <c r="I14" i="1"/>
  <c r="I136" i="1"/>
  <c r="J34" i="1"/>
  <c r="I139" i="1"/>
  <c r="I189" i="1"/>
  <c r="J91" i="1"/>
  <c r="I35" i="1"/>
  <c r="J28" i="1"/>
  <c r="J167" i="1"/>
  <c r="J33" i="1"/>
  <c r="I162" i="1"/>
  <c r="I44" i="1"/>
  <c r="I172" i="1"/>
  <c r="J112" i="1"/>
  <c r="I182" i="1"/>
  <c r="I71" i="1"/>
  <c r="I144" i="1"/>
  <c r="J161" i="1"/>
  <c r="I111" i="1"/>
  <c r="I93" i="1"/>
  <c r="J38" i="1"/>
  <c r="J45" i="1"/>
  <c r="I50" i="1"/>
  <c r="J160" i="1"/>
  <c r="J77" i="1"/>
  <c r="J105" i="1"/>
  <c r="I98" i="1"/>
  <c r="I87" i="1"/>
  <c r="I185" i="1"/>
  <c r="J79" i="1"/>
  <c r="I32" i="1"/>
  <c r="J86" i="1"/>
  <c r="J110" i="1"/>
  <c r="J181" i="1"/>
  <c r="I108" i="1"/>
  <c r="J183" i="1"/>
  <c r="J121" i="1"/>
  <c r="I58" i="1"/>
  <c r="I70" i="1"/>
  <c r="I143" i="1"/>
  <c r="J103" i="1"/>
  <c r="J166" i="1"/>
  <c r="I15" i="1"/>
  <c r="I180" i="1"/>
  <c r="I39" i="1"/>
  <c r="J75" i="1"/>
  <c r="J140" i="1"/>
  <c r="I175" i="1"/>
  <c r="J154" i="1"/>
  <c r="I147" i="1"/>
  <c r="J47" i="1"/>
  <c r="I51" i="1"/>
  <c r="I156" i="1"/>
  <c r="I63" i="1"/>
  <c r="I99" i="1"/>
  <c r="J95" i="1"/>
  <c r="I55" i="1"/>
  <c r="I59" i="1"/>
  <c r="I151" i="1"/>
  <c r="J115" i="1"/>
  <c r="J46" i="1"/>
  <c r="J24" i="1"/>
  <c r="I82" i="1"/>
  <c r="J64" i="1"/>
  <c r="I53" i="1"/>
  <c r="I157" i="1"/>
  <c r="I133" i="1"/>
  <c r="I114" i="1"/>
  <c r="I186" i="1"/>
  <c r="I149" i="1"/>
  <c r="I101" i="1"/>
  <c r="J127" i="1"/>
  <c r="I124" i="1"/>
  <c r="I76" i="1"/>
  <c r="J81" i="1"/>
  <c r="J109" i="1"/>
  <c r="J97" i="1"/>
  <c r="J100" i="1"/>
  <c r="I123" i="1"/>
  <c r="J155" i="1"/>
  <c r="J119" i="1"/>
  <c r="I49" i="1"/>
  <c r="I137" i="1"/>
  <c r="I29" i="1"/>
  <c r="J41" i="1"/>
  <c r="I26" i="1"/>
  <c r="J69" i="1"/>
  <c r="I42" i="1"/>
  <c r="J42" i="1"/>
  <c r="I113" i="1"/>
  <c r="I125" i="1"/>
  <c r="J85" i="1"/>
  <c r="J31" i="1"/>
  <c r="J67" i="1"/>
  <c r="J122" i="1"/>
  <c r="I159" i="1"/>
  <c r="J19" i="1"/>
  <c r="J117" i="1"/>
  <c r="I135" i="1"/>
  <c r="I132" i="1"/>
  <c r="I104" i="1"/>
  <c r="I131" i="1"/>
  <c r="I152" i="1"/>
  <c r="J158" i="1"/>
  <c r="J129" i="1"/>
  <c r="I134" i="1"/>
  <c r="I62" i="1"/>
  <c r="J165" i="1"/>
  <c r="I165" i="1"/>
  <c r="J102" i="1"/>
  <c r="I102" i="1"/>
  <c r="I153" i="1"/>
  <c r="I30" i="1"/>
  <c r="I190" i="1"/>
  <c r="J74" i="1"/>
  <c r="I150" i="1"/>
  <c r="J150" i="1"/>
  <c r="I25" i="1"/>
  <c r="I146" i="1"/>
  <c r="I171" i="1"/>
  <c r="J94" i="1"/>
  <c r="I68" i="1"/>
  <c r="J89" i="1"/>
  <c r="I60" i="1"/>
  <c r="J27" i="1"/>
  <c r="I9" i="1"/>
  <c r="I120" i="1"/>
  <c r="J174" i="1"/>
  <c r="J187" i="1"/>
  <c r="J43" i="1"/>
  <c r="I188" i="1"/>
  <c r="J142" i="1"/>
  <c r="I56" i="1"/>
  <c r="J130" i="1"/>
  <c r="I12" i="1"/>
  <c r="I148" i="1"/>
  <c r="J92" i="1"/>
  <c r="J80" i="1"/>
  <c r="I138" i="1"/>
  <c r="J138" i="1"/>
  <c r="J90" i="1"/>
  <c r="I176" i="1"/>
  <c r="I66" i="1"/>
  <c r="I177" i="1"/>
  <c r="J84" i="1"/>
  <c r="I61" i="1"/>
  <c r="J163" i="1"/>
  <c r="J52" i="1"/>
  <c r="J106" i="1"/>
  <c r="I107" i="1"/>
  <c r="J170" i="1"/>
  <c r="I141" i="1"/>
  <c r="I96" i="1"/>
  <c r="J36" i="1"/>
  <c r="J128" i="1"/>
  <c r="J22" i="1"/>
  <c r="J118" i="1"/>
  <c r="I164" i="1"/>
  <c r="J164" i="1"/>
  <c r="J48" i="1"/>
  <c r="I20" i="1"/>
  <c r="J184" i="1"/>
  <c r="J126" i="1"/>
  <c r="J54" i="1"/>
  <c r="J23" i="1"/>
  <c r="J37" i="1"/>
  <c r="J73" i="1"/>
  <c r="J40" i="1"/>
  <c r="I173" i="1"/>
  <c r="I88" i="1"/>
  <c r="J88" i="1"/>
  <c r="J21" i="1"/>
  <c r="J16" i="1"/>
  <c r="J17" i="1"/>
  <c r="J10" i="1"/>
  <c r="I18" i="1"/>
  <c r="J18" i="1"/>
  <c r="B335" i="6"/>
  <c r="C335" i="6" s="1"/>
  <c r="B188" i="6"/>
  <c r="C188" i="6" s="1"/>
  <c r="B339" i="6"/>
  <c r="C339" i="6" s="1"/>
  <c r="B446" i="6"/>
  <c r="C446" i="6" s="1"/>
  <c r="B479" i="6"/>
  <c r="C479" i="6" s="1"/>
  <c r="B112" i="6"/>
  <c r="C112" i="6" s="1"/>
  <c r="B449" i="6"/>
  <c r="C449" i="6" s="1"/>
  <c r="B413" i="6"/>
  <c r="C413" i="6" s="1"/>
  <c r="B343" i="6"/>
  <c r="C343" i="6" s="1"/>
  <c r="B4" i="6"/>
  <c r="C4" i="6" s="1"/>
  <c r="B490" i="6"/>
  <c r="C490" i="6" s="1"/>
  <c r="B165" i="6"/>
  <c r="C165" i="6" s="1"/>
  <c r="B98" i="6"/>
  <c r="C98" i="6" s="1"/>
  <c r="B252" i="6"/>
  <c r="C252" i="6" s="1"/>
  <c r="B193" i="6"/>
  <c r="C193" i="6" s="1"/>
  <c r="B189" i="6"/>
  <c r="C189" i="6" s="1"/>
  <c r="B435" i="6"/>
  <c r="C435" i="6" s="1"/>
  <c r="B9" i="6"/>
  <c r="C9" i="6" s="1"/>
  <c r="B494" i="6"/>
  <c r="C494" i="6" s="1"/>
  <c r="B358" i="6"/>
  <c r="C358" i="6" s="1"/>
  <c r="B33" i="6"/>
  <c r="C33" i="6" s="1"/>
  <c r="B13" i="6"/>
  <c r="C13" i="6" s="1"/>
  <c r="B485" i="6"/>
  <c r="C485" i="6" s="1"/>
  <c r="B91" i="6"/>
  <c r="C91" i="6" s="1"/>
  <c r="B6" i="6"/>
  <c r="C6" i="6" s="1"/>
  <c r="B107" i="6"/>
  <c r="C107" i="6" s="1"/>
  <c r="B232" i="6"/>
  <c r="C232" i="6" s="1"/>
  <c r="B122" i="6"/>
  <c r="C122" i="6" s="1"/>
  <c r="B105" i="6"/>
  <c r="C105" i="6" s="1"/>
  <c r="B279" i="6"/>
  <c r="C279" i="6" s="1"/>
  <c r="B47" i="6"/>
  <c r="C47" i="6" s="1"/>
  <c r="B129" i="6"/>
  <c r="C129" i="6" s="1"/>
  <c r="B261" i="6"/>
  <c r="C261" i="6" s="1"/>
  <c r="B314" i="6"/>
  <c r="C314" i="6" s="1"/>
  <c r="B235" i="6"/>
  <c r="C235" i="6" s="1"/>
  <c r="B102" i="6"/>
  <c r="C102" i="6" s="1"/>
  <c r="B124" i="6"/>
  <c r="C124" i="6" s="1"/>
  <c r="B297" i="6"/>
  <c r="C297" i="6" s="1"/>
  <c r="B283" i="6"/>
  <c r="C283" i="6" s="1"/>
  <c r="B375" i="6"/>
  <c r="C375" i="6" s="1"/>
  <c r="B316" i="6"/>
  <c r="C316" i="6" s="1"/>
  <c r="B432" i="6"/>
  <c r="C432" i="6" s="1"/>
  <c r="B123" i="6"/>
  <c r="C123" i="6" s="1"/>
  <c r="B251" i="6"/>
  <c r="C251" i="6" s="1"/>
  <c r="B373" i="6"/>
  <c r="C373" i="6" s="1"/>
  <c r="B219" i="6"/>
  <c r="C219" i="6" s="1"/>
  <c r="B357" i="6"/>
  <c r="C357" i="6" s="1"/>
  <c r="B136" i="6"/>
  <c r="C136" i="6" s="1"/>
  <c r="B143" i="6"/>
  <c r="C143" i="6" s="1"/>
  <c r="B237" i="6"/>
  <c r="C237" i="6" s="1"/>
  <c r="B461" i="6"/>
  <c r="C461" i="6" s="1"/>
  <c r="B236" i="6"/>
  <c r="C236" i="6" s="1"/>
  <c r="B119" i="6"/>
  <c r="C119" i="6" s="1"/>
  <c r="B83" i="6"/>
  <c r="C83" i="6" s="1"/>
  <c r="B187" i="6"/>
  <c r="C187" i="6" s="1"/>
  <c r="B382" i="6"/>
  <c r="C382" i="6" s="1"/>
  <c r="B81" i="6"/>
  <c r="C81" i="6" s="1"/>
  <c r="B87" i="6"/>
  <c r="C87" i="6" s="1"/>
  <c r="B287" i="6"/>
  <c r="C287" i="6" s="1"/>
  <c r="B253" i="6"/>
  <c r="C253" i="6" s="1"/>
  <c r="B54" i="6"/>
  <c r="C54" i="6" s="1"/>
  <c r="B277" i="6"/>
  <c r="C277" i="6" s="1"/>
  <c r="B78" i="6"/>
  <c r="C78" i="6" s="1"/>
  <c r="B406" i="6"/>
  <c r="C406" i="6" s="1"/>
  <c r="B301" i="6"/>
  <c r="C301" i="6" s="1"/>
  <c r="B410" i="6"/>
  <c r="C410" i="6" s="1"/>
  <c r="B325" i="6"/>
  <c r="C325" i="6" s="1"/>
  <c r="B336" i="6"/>
  <c r="C336" i="6" s="1"/>
  <c r="B227" i="6"/>
  <c r="C227" i="6" s="1"/>
  <c r="B349" i="6"/>
  <c r="C349" i="6" s="1"/>
  <c r="B306" i="6"/>
  <c r="C306" i="6" s="1"/>
  <c r="B150" i="6"/>
  <c r="C150" i="6" s="1"/>
  <c r="B168" i="6"/>
  <c r="C168" i="6" s="1"/>
  <c r="B489" i="6"/>
  <c r="C489" i="6" s="1"/>
  <c r="B331" i="6"/>
  <c r="C331" i="6" s="1"/>
  <c r="B399" i="6"/>
  <c r="C399" i="6" s="1"/>
  <c r="B354" i="6"/>
  <c r="C354" i="6" s="1"/>
  <c r="B340" i="6"/>
  <c r="C340" i="6" s="1"/>
  <c r="B270" i="6"/>
  <c r="C270" i="6" s="1"/>
  <c r="B95" i="6"/>
  <c r="C95" i="6" s="1"/>
  <c r="B264" i="6"/>
  <c r="C264" i="6" s="1"/>
  <c r="B499" i="6"/>
  <c r="C499" i="6" s="1"/>
  <c r="B371" i="6"/>
  <c r="C371" i="6" s="1"/>
  <c r="B355" i="6"/>
  <c r="C355" i="6" s="1"/>
  <c r="B397" i="6"/>
  <c r="C397" i="6" s="1"/>
  <c r="B423" i="6"/>
  <c r="C423" i="6" s="1"/>
  <c r="B402" i="6"/>
  <c r="C402" i="6" s="1"/>
  <c r="B364" i="6"/>
  <c r="C364" i="6" s="1"/>
  <c r="B462" i="6"/>
  <c r="C462" i="6" s="1"/>
  <c r="B96" i="6"/>
  <c r="C96" i="6" s="1"/>
  <c r="B360" i="6"/>
  <c r="C360" i="6" s="1"/>
  <c r="B315" i="6"/>
  <c r="C315" i="6" s="1"/>
  <c r="I7" i="1"/>
  <c r="B380" i="6"/>
  <c r="C380" i="6" s="1"/>
  <c r="B381" i="6"/>
  <c r="C381" i="6" s="1"/>
  <c r="B427" i="6"/>
  <c r="C427" i="6" s="1"/>
  <c r="B421" i="6"/>
  <c r="C421" i="6" s="1"/>
  <c r="B447" i="6"/>
  <c r="C447" i="6" s="1"/>
  <c r="B450" i="6"/>
  <c r="C450" i="6" s="1"/>
  <c r="B388" i="6"/>
  <c r="C388" i="6" s="1"/>
  <c r="B486" i="6"/>
  <c r="C486" i="6" s="1"/>
  <c r="B337" i="6"/>
  <c r="C337" i="6" s="1"/>
  <c r="B456" i="6"/>
  <c r="C456" i="6" s="1"/>
  <c r="B411" i="6"/>
  <c r="C411" i="6" s="1"/>
  <c r="B372" i="6"/>
  <c r="C372" i="6" s="1"/>
  <c r="B473" i="6"/>
  <c r="C473" i="6" s="1"/>
  <c r="B194" i="6"/>
  <c r="C194" i="6" s="1"/>
  <c r="B43" i="6"/>
  <c r="C43" i="6" s="1"/>
  <c r="B497" i="6"/>
  <c r="C497" i="6" s="1"/>
  <c r="B118" i="6"/>
  <c r="C118" i="6" s="1"/>
  <c r="B67" i="6"/>
  <c r="C67" i="6" s="1"/>
  <c r="B282" i="6"/>
  <c r="C282" i="6" s="1"/>
  <c r="B455" i="6"/>
  <c r="C455" i="6" s="1"/>
  <c r="B57" i="6"/>
  <c r="C57" i="6" s="1"/>
  <c r="B500" i="6"/>
  <c r="C500" i="6" s="1"/>
  <c r="B459" i="6"/>
  <c r="C459" i="6" s="1"/>
  <c r="B229" i="6"/>
  <c r="C229" i="6" s="1"/>
  <c r="B379" i="6"/>
  <c r="C379" i="6" s="1"/>
  <c r="B289" i="6"/>
  <c r="C289" i="6" s="1"/>
  <c r="B139" i="6"/>
  <c r="C139" i="6" s="1"/>
  <c r="B260" i="6"/>
  <c r="C260" i="6" s="1"/>
  <c r="B218" i="6"/>
  <c r="C218" i="6" s="1"/>
  <c r="B163" i="6"/>
  <c r="C163" i="6" s="1"/>
  <c r="B303" i="6"/>
  <c r="C303" i="6" s="1"/>
  <c r="B144" i="6"/>
  <c r="C144" i="6" s="1"/>
  <c r="B153" i="6"/>
  <c r="C153" i="6" s="1"/>
  <c r="B186" i="6"/>
  <c r="C186" i="6" s="1"/>
  <c r="B240" i="6"/>
  <c r="C240" i="6" s="1"/>
  <c r="B177" i="6"/>
  <c r="C177" i="6" s="1"/>
  <c r="B351" i="6"/>
  <c r="C351" i="6" s="1"/>
  <c r="B25" i="6"/>
  <c r="C25" i="6" s="1"/>
  <c r="B12" i="6"/>
  <c r="C12" i="6" s="1"/>
  <c r="B92" i="6"/>
  <c r="C92" i="6" s="1"/>
  <c r="B471" i="6"/>
  <c r="C471" i="6" s="1"/>
  <c r="B7" i="6"/>
  <c r="C7" i="6" s="1"/>
  <c r="B190" i="6"/>
  <c r="C190" i="6" s="1"/>
  <c r="B32" i="6"/>
  <c r="C32" i="6" s="1"/>
  <c r="B428" i="6"/>
  <c r="C428" i="6" s="1"/>
  <c r="B307" i="6"/>
  <c r="C307" i="6" s="1"/>
  <c r="B31" i="6"/>
  <c r="C31" i="6" s="1"/>
  <c r="B46" i="6"/>
  <c r="C46" i="6" s="1"/>
  <c r="B56" i="6"/>
  <c r="C56" i="6" s="1"/>
  <c r="B60" i="6"/>
  <c r="C60" i="6" s="1"/>
  <c r="B42" i="6"/>
  <c r="C42" i="6" s="1"/>
  <c r="B460" i="6"/>
  <c r="C460" i="6" s="1"/>
  <c r="B434" i="6"/>
  <c r="C434" i="6" s="1"/>
  <c r="B22" i="6"/>
  <c r="C22" i="6" s="1"/>
  <c r="B80" i="6"/>
  <c r="C80" i="6" s="1"/>
  <c r="B84" i="6"/>
  <c r="C84" i="6" s="1"/>
  <c r="B17" i="6"/>
  <c r="C17" i="6" s="1"/>
  <c r="B79" i="6"/>
  <c r="C79" i="6" s="1"/>
  <c r="B74" i="6"/>
  <c r="C74" i="6" s="1"/>
  <c r="B21" i="6"/>
  <c r="C21" i="6" s="1"/>
  <c r="B258" i="6"/>
  <c r="C258" i="6" s="1"/>
  <c r="B103" i="6"/>
  <c r="C103" i="6" s="1"/>
  <c r="B170" i="6"/>
  <c r="C170" i="6" s="1"/>
  <c r="B152" i="6"/>
  <c r="C152" i="6" s="1"/>
  <c r="B130" i="6"/>
  <c r="C130" i="6" s="1"/>
  <c r="B156" i="6"/>
  <c r="C156" i="6" s="1"/>
  <c r="B69" i="6"/>
  <c r="C69" i="6" s="1"/>
  <c r="B326" i="6"/>
  <c r="C326" i="6" s="1"/>
  <c r="B16" i="6"/>
  <c r="C16" i="6" s="1"/>
  <c r="B185" i="6"/>
  <c r="C185" i="6" s="1"/>
  <c r="B53" i="6"/>
  <c r="C53" i="6" s="1"/>
  <c r="B151" i="6"/>
  <c r="C151" i="6" s="1"/>
  <c r="B214" i="6"/>
  <c r="C214" i="6" s="1"/>
  <c r="B362" i="6"/>
  <c r="C362" i="6" s="1"/>
  <c r="B476" i="6"/>
  <c r="C476" i="6" s="1"/>
  <c r="B66" i="6"/>
  <c r="C66" i="6" s="1"/>
  <c r="B480" i="6"/>
  <c r="C480" i="6" s="1"/>
  <c r="B82" i="6"/>
  <c r="C82" i="6" s="1"/>
  <c r="B108" i="6"/>
  <c r="C108" i="6" s="1"/>
  <c r="B278" i="6"/>
  <c r="C278" i="6" s="1"/>
  <c r="B41" i="6"/>
  <c r="C41" i="6" s="1"/>
  <c r="B385" i="6"/>
  <c r="C385" i="6" s="1"/>
  <c r="B128" i="6"/>
  <c r="C128" i="6" s="1"/>
  <c r="B132" i="6"/>
  <c r="C132" i="6" s="1"/>
  <c r="B302" i="6"/>
  <c r="C302" i="6" s="1"/>
  <c r="B65" i="6"/>
  <c r="C65" i="6" s="1"/>
  <c r="B127" i="6"/>
  <c r="C127" i="6" s="1"/>
  <c r="B266" i="6"/>
  <c r="C266" i="6" s="1"/>
  <c r="B272" i="6"/>
  <c r="C272" i="6" s="1"/>
  <c r="B154" i="6"/>
  <c r="C154" i="6" s="1"/>
  <c r="B180" i="6"/>
  <c r="C180" i="6" s="1"/>
  <c r="B93" i="6"/>
  <c r="C93" i="6" s="1"/>
  <c r="B350" i="6"/>
  <c r="C350" i="6" s="1"/>
  <c r="B40" i="6"/>
  <c r="C40" i="6" s="1"/>
  <c r="B377" i="6"/>
  <c r="C377" i="6" s="1"/>
  <c r="B77" i="6"/>
  <c r="C77" i="6" s="1"/>
  <c r="B175" i="6"/>
  <c r="C175" i="6" s="1"/>
  <c r="B50" i="6"/>
  <c r="C50" i="6" s="1"/>
  <c r="B458" i="6"/>
  <c r="C458" i="6" s="1"/>
  <c r="B327" i="6"/>
  <c r="C327" i="6" s="1"/>
  <c r="B215" i="6"/>
  <c r="C215" i="6" s="1"/>
  <c r="B203" i="6"/>
  <c r="C203" i="6" s="1"/>
  <c r="B234" i="6"/>
  <c r="C234" i="6" s="1"/>
  <c r="B72" i="6"/>
  <c r="C72" i="6" s="1"/>
  <c r="B412" i="6"/>
  <c r="C412" i="6" s="1"/>
  <c r="B36" i="6"/>
  <c r="C36" i="6" s="1"/>
  <c r="B338" i="6"/>
  <c r="C338" i="6" s="1"/>
  <c r="B464" i="6"/>
  <c r="C464" i="6" s="1"/>
  <c r="B178" i="6"/>
  <c r="C178" i="6" s="1"/>
  <c r="B204" i="6"/>
  <c r="C204" i="6" s="1"/>
  <c r="B117" i="6"/>
  <c r="C117" i="6" s="1"/>
  <c r="B374" i="6"/>
  <c r="C374" i="6" s="1"/>
  <c r="B64" i="6"/>
  <c r="C64" i="6" s="1"/>
  <c r="B401" i="6"/>
  <c r="C401" i="6" s="1"/>
  <c r="B197" i="6"/>
  <c r="C197" i="6" s="1"/>
  <c r="B199" i="6"/>
  <c r="C199" i="6" s="1"/>
  <c r="B147" i="6"/>
  <c r="C147" i="6" s="1"/>
  <c r="B478" i="6"/>
  <c r="C478" i="6" s="1"/>
  <c r="B11" i="6"/>
  <c r="C11" i="6" s="1"/>
  <c r="B470" i="6"/>
  <c r="C470" i="6" s="1"/>
  <c r="B437" i="6"/>
  <c r="C437" i="6" s="1"/>
  <c r="B35" i="6"/>
  <c r="C35" i="6" s="1"/>
  <c r="B160" i="6"/>
  <c r="C160" i="6" s="1"/>
  <c r="B239" i="6"/>
  <c r="C239" i="6" s="1"/>
  <c r="B59" i="6"/>
  <c r="C59" i="6" s="1"/>
  <c r="B184" i="6"/>
  <c r="C184" i="6" s="1"/>
  <c r="B205" i="6"/>
  <c r="C205" i="6" s="1"/>
  <c r="B208" i="6"/>
  <c r="C208" i="6" s="1"/>
  <c r="B431" i="6"/>
  <c r="C431" i="6" s="1"/>
  <c r="B115" i="6"/>
  <c r="C115" i="6" s="1"/>
  <c r="B30" i="6"/>
  <c r="C30" i="6" s="1"/>
  <c r="B131" i="6"/>
  <c r="C131" i="6" s="1"/>
  <c r="B256" i="6"/>
  <c r="C256" i="6" s="1"/>
  <c r="B482" i="6"/>
  <c r="C482" i="6" s="1"/>
  <c r="B155" i="6"/>
  <c r="C155" i="6" s="1"/>
  <c r="B376" i="6"/>
  <c r="C376" i="6" s="1"/>
  <c r="B483" i="6"/>
  <c r="C483" i="6" s="1"/>
  <c r="B179" i="6"/>
  <c r="C179" i="6" s="1"/>
  <c r="B259" i="6"/>
  <c r="C259" i="6" s="1"/>
  <c r="B126" i="6"/>
  <c r="C126" i="6" s="1"/>
  <c r="B309" i="6"/>
  <c r="C309" i="6" s="1"/>
  <c r="B445" i="6"/>
  <c r="C445" i="6" s="1"/>
  <c r="B498" i="6"/>
  <c r="C498" i="6" s="1"/>
  <c r="B242" i="6"/>
  <c r="C242" i="6" s="1"/>
  <c r="B70" i="6"/>
  <c r="C70" i="6" s="1"/>
  <c r="B10" i="6"/>
  <c r="C10" i="6" s="1"/>
  <c r="B469" i="6"/>
  <c r="C469" i="6" s="1"/>
  <c r="B495" i="6"/>
  <c r="C495" i="6" s="1"/>
  <c r="B436" i="6"/>
  <c r="C436" i="6" s="1"/>
  <c r="B169" i="6"/>
  <c r="C169" i="6" s="1"/>
  <c r="B34" i="6"/>
  <c r="C34" i="6" s="1"/>
  <c r="B452" i="6"/>
  <c r="C452" i="6" s="1"/>
  <c r="B62" i="6"/>
  <c r="C62" i="6" s="1"/>
  <c r="B477" i="6"/>
  <c r="C477" i="6" s="1"/>
  <c r="B55" i="6"/>
  <c r="C55" i="6" s="1"/>
  <c r="B58" i="6"/>
  <c r="C58" i="6" s="1"/>
  <c r="B254" i="6"/>
  <c r="C254" i="6" s="1"/>
  <c r="B484" i="6"/>
  <c r="C484" i="6" s="1"/>
  <c r="B430" i="6"/>
  <c r="C430" i="6" s="1"/>
  <c r="B104" i="6"/>
  <c r="C104" i="6" s="1"/>
  <c r="B5" i="6"/>
  <c r="C5" i="6" s="1"/>
  <c r="B106" i="6"/>
  <c r="C106" i="6" s="1"/>
  <c r="B45" i="6"/>
  <c r="C45" i="6" s="1"/>
  <c r="B405" i="6"/>
  <c r="C405" i="6" s="1"/>
  <c r="B29" i="6"/>
  <c r="C29" i="6" s="1"/>
  <c r="B290" i="6"/>
  <c r="C290" i="6" s="1"/>
  <c r="B488" i="6"/>
  <c r="C488" i="6" s="1"/>
  <c r="B298" i="6"/>
  <c r="C298" i="6" s="1"/>
  <c r="B228" i="6"/>
  <c r="C228" i="6" s="1"/>
  <c r="B141" i="6"/>
  <c r="C141" i="6" s="1"/>
  <c r="B422" i="6"/>
  <c r="C422" i="6" s="1"/>
  <c r="B88" i="6"/>
  <c r="C88" i="6" s="1"/>
  <c r="B425" i="6"/>
  <c r="C425" i="6" s="1"/>
  <c r="B389" i="6"/>
  <c r="C389" i="6" s="1"/>
  <c r="B223" i="6"/>
  <c r="C223" i="6" s="1"/>
  <c r="B243" i="6"/>
  <c r="C243" i="6" s="1"/>
  <c r="B120" i="6"/>
  <c r="C120" i="6" s="1"/>
  <c r="B216" i="6"/>
  <c r="C216" i="6" s="1"/>
  <c r="B312" i="6"/>
  <c r="C312" i="6" s="1"/>
  <c r="B408" i="6"/>
  <c r="C408" i="6" s="1"/>
  <c r="B24" i="6"/>
  <c r="C24" i="6" s="1"/>
  <c r="B97" i="6"/>
  <c r="C97" i="6" s="1"/>
  <c r="B359" i="6"/>
  <c r="C359" i="6" s="1"/>
  <c r="B146" i="6"/>
  <c r="C146" i="6" s="1"/>
  <c r="B27" i="6"/>
  <c r="C27" i="6" s="1"/>
  <c r="B438" i="6"/>
  <c r="C438" i="6" s="1"/>
  <c r="B365" i="6"/>
  <c r="C365" i="6" s="1"/>
  <c r="B292" i="6"/>
  <c r="C292" i="6" s="1"/>
  <c r="B353" i="6"/>
  <c r="C353" i="6" s="1"/>
  <c r="B114" i="6"/>
  <c r="C114" i="6" s="1"/>
  <c r="B332" i="6"/>
  <c r="C332" i="6" s="1"/>
  <c r="B255" i="6"/>
  <c r="C255" i="6" s="1"/>
  <c r="B230" i="6"/>
  <c r="C230" i="6" s="1"/>
  <c r="B181" i="6"/>
  <c r="C181" i="6" s="1"/>
  <c r="B404" i="6"/>
  <c r="C404" i="6" s="1"/>
  <c r="B19" i="6"/>
  <c r="C19" i="6" s="1"/>
  <c r="B308" i="6"/>
  <c r="C308" i="6" s="1"/>
  <c r="B466" i="6"/>
  <c r="C466" i="6" s="1"/>
  <c r="B465" i="6"/>
  <c r="C465" i="6" s="1"/>
  <c r="B440" i="6"/>
  <c r="C440" i="6" s="1"/>
  <c r="B386" i="6"/>
  <c r="C386" i="6" s="1"/>
  <c r="B281" i="6"/>
  <c r="C281" i="6" s="1"/>
  <c r="B158" i="6"/>
  <c r="C158" i="6" s="1"/>
  <c r="B468" i="6"/>
  <c r="C468" i="6" s="1"/>
  <c r="B368" i="6"/>
  <c r="C368" i="6" s="1"/>
  <c r="B209" i="6"/>
  <c r="C209" i="6" s="1"/>
  <c r="B409" i="6"/>
  <c r="C409" i="6" s="1"/>
  <c r="B384" i="6"/>
  <c r="C384" i="6" s="1"/>
  <c r="B263" i="6"/>
  <c r="C263" i="6" s="1"/>
  <c r="B49" i="6"/>
  <c r="C49" i="6" s="1"/>
  <c r="B367" i="6"/>
  <c r="C367" i="6" s="1"/>
  <c r="B414" i="6"/>
  <c r="C414" i="6" s="1"/>
  <c r="B341" i="6"/>
  <c r="C341" i="6" s="1"/>
  <c r="B268" i="6"/>
  <c r="C268" i="6" s="1"/>
  <c r="B329" i="6"/>
  <c r="C329" i="6" s="1"/>
  <c r="B18" i="6"/>
  <c r="C18" i="6" s="1"/>
  <c r="B451" i="6"/>
  <c r="C451" i="6" s="1"/>
  <c r="B231" i="6"/>
  <c r="C231" i="6" s="1"/>
  <c r="B206" i="6"/>
  <c r="C206" i="6" s="1"/>
  <c r="B157" i="6"/>
  <c r="C157" i="6" s="1"/>
  <c r="B356" i="6"/>
  <c r="C356" i="6" s="1"/>
  <c r="B398" i="6"/>
  <c r="C398" i="6" s="1"/>
  <c r="B403" i="6"/>
  <c r="C403" i="6" s="1"/>
  <c r="B442" i="6"/>
  <c r="C442" i="6" s="1"/>
  <c r="B441" i="6"/>
  <c r="C441" i="6" s="1"/>
  <c r="B416" i="6"/>
  <c r="C416" i="6" s="1"/>
  <c r="B293" i="6"/>
  <c r="C293" i="6" s="1"/>
  <c r="B109" i="6"/>
  <c r="C109" i="6" s="1"/>
  <c r="B394" i="6"/>
  <c r="C394" i="6" s="1"/>
  <c r="B121" i="6"/>
  <c r="C121" i="6" s="1"/>
  <c r="B407" i="6"/>
  <c r="C407" i="6" s="1"/>
  <c r="B439" i="6"/>
  <c r="C439" i="6" s="1"/>
  <c r="B196" i="6"/>
  <c r="C196" i="6" s="1"/>
  <c r="B448" i="6"/>
  <c r="C448" i="6" s="1"/>
  <c r="B134" i="6"/>
  <c r="C134" i="6" s="1"/>
  <c r="B444" i="6"/>
  <c r="C444" i="6" s="1"/>
  <c r="B370" i="6"/>
  <c r="C370" i="6" s="1"/>
  <c r="B23" i="6"/>
  <c r="C23" i="6" s="1"/>
  <c r="B192" i="6"/>
  <c r="C192" i="6" s="1"/>
  <c r="B245" i="6"/>
  <c r="C245" i="6" s="1"/>
  <c r="B424" i="6"/>
  <c r="C424" i="6" s="1"/>
  <c r="B61" i="6"/>
  <c r="C61" i="6" s="1"/>
  <c r="B419" i="6"/>
  <c r="C419" i="6" s="1"/>
  <c r="B320" i="6"/>
  <c r="C320" i="6" s="1"/>
  <c r="B311" i="6"/>
  <c r="C311" i="6" s="1"/>
  <c r="B454" i="6"/>
  <c r="C454" i="6" s="1"/>
  <c r="B294" i="6"/>
  <c r="C294" i="6" s="1"/>
  <c r="B400" i="6"/>
  <c r="C400" i="6" s="1"/>
  <c r="B111" i="6"/>
  <c r="C111" i="6" s="1"/>
  <c r="B86" i="6"/>
  <c r="C86" i="6" s="1"/>
  <c r="B116" i="6"/>
  <c r="C116" i="6" s="1"/>
  <c r="B395" i="6"/>
  <c r="C395" i="6" s="1"/>
  <c r="B321" i="6"/>
  <c r="C321" i="6" s="1"/>
  <c r="B313" i="6"/>
  <c r="C313" i="6" s="1"/>
  <c r="B191" i="6"/>
  <c r="C191" i="6" s="1"/>
  <c r="B167" i="6"/>
  <c r="C167" i="6" s="1"/>
  <c r="B310" i="6"/>
  <c r="C310" i="6" s="1"/>
  <c r="B487" i="6"/>
  <c r="C487" i="6" s="1"/>
  <c r="B390" i="6"/>
  <c r="C390" i="6" s="1"/>
  <c r="B317" i="6"/>
  <c r="C317" i="6" s="1"/>
  <c r="B244" i="6"/>
  <c r="C244" i="6" s="1"/>
  <c r="B305" i="6"/>
  <c r="C305" i="6" s="1"/>
  <c r="B496" i="6"/>
  <c r="C496" i="6" s="1"/>
  <c r="B211" i="6"/>
  <c r="C211" i="6" s="1"/>
  <c r="B207" i="6"/>
  <c r="C207" i="6" s="1"/>
  <c r="B182" i="6"/>
  <c r="C182" i="6" s="1"/>
  <c r="B133" i="6"/>
  <c r="C133" i="6" s="1"/>
  <c r="B284" i="6"/>
  <c r="C284" i="6" s="1"/>
  <c r="B492" i="6"/>
  <c r="C492" i="6" s="1"/>
  <c r="B491" i="6"/>
  <c r="C491" i="6" s="1"/>
  <c r="B418" i="6"/>
  <c r="C418" i="6" s="1"/>
  <c r="B417" i="6"/>
  <c r="C417" i="6" s="1"/>
  <c r="B392" i="6"/>
  <c r="C392" i="6" s="1"/>
  <c r="B217" i="6"/>
  <c r="C217" i="6" s="1"/>
  <c r="B286" i="6"/>
  <c r="C286" i="6" s="1"/>
  <c r="B71" i="6"/>
  <c r="C71" i="6" s="1"/>
  <c r="B463" i="6"/>
  <c r="C463" i="6" s="1"/>
  <c r="B366" i="6"/>
  <c r="C366" i="6" s="1"/>
  <c r="B220" i="6"/>
  <c r="C220" i="6" s="1"/>
  <c r="B472" i="6"/>
  <c r="C472" i="6" s="1"/>
  <c r="B474" i="6"/>
  <c r="C474" i="6" s="1"/>
  <c r="B183" i="6"/>
  <c r="C183" i="6" s="1"/>
  <c r="B212" i="6"/>
  <c r="C212" i="6" s="1"/>
  <c r="B467" i="6"/>
  <c r="C467" i="6" s="1"/>
  <c r="B393" i="6"/>
  <c r="C393" i="6" s="1"/>
  <c r="B457" i="6"/>
  <c r="C457" i="6" s="1"/>
  <c r="B481" i="6"/>
  <c r="C481" i="6" s="1"/>
  <c r="B342" i="6"/>
  <c r="C342" i="6" s="1"/>
  <c r="B269" i="6"/>
  <c r="C269" i="6" s="1"/>
  <c r="B257" i="6"/>
  <c r="C257" i="6" s="1"/>
  <c r="B426" i="6"/>
  <c r="C426" i="6" s="1"/>
  <c r="B159" i="6"/>
  <c r="C159" i="6" s="1"/>
  <c r="B85" i="6"/>
  <c r="C85" i="6" s="1"/>
  <c r="B164" i="6"/>
  <c r="C164" i="6" s="1"/>
  <c r="B443" i="6"/>
  <c r="C443" i="6" s="1"/>
  <c r="B369" i="6"/>
  <c r="C369" i="6" s="1"/>
  <c r="B344" i="6"/>
  <c r="C344" i="6" s="1"/>
  <c r="B361" i="6"/>
  <c r="C361" i="6" s="1"/>
  <c r="B291" i="6"/>
  <c r="C291" i="6" s="1"/>
  <c r="B415" i="6"/>
  <c r="C415" i="6" s="1"/>
  <c r="B318" i="6"/>
  <c r="C318" i="6" s="1"/>
  <c r="B172" i="6"/>
  <c r="C172" i="6" s="1"/>
  <c r="B233" i="6"/>
  <c r="C233" i="6" s="1"/>
  <c r="B378" i="6"/>
  <c r="C378" i="6" s="1"/>
  <c r="B135" i="6"/>
  <c r="C135" i="6" s="1"/>
  <c r="B110" i="6"/>
  <c r="C110" i="6" s="1"/>
  <c r="B140" i="6"/>
  <c r="C140" i="6" s="1"/>
  <c r="B420" i="6"/>
  <c r="C420" i="6" s="1"/>
  <c r="B346" i="6"/>
  <c r="C346" i="6" s="1"/>
  <c r="B345" i="6"/>
  <c r="C345" i="6" s="1"/>
  <c r="B94" i="6"/>
  <c r="C94" i="6" s="1"/>
  <c r="B265" i="6"/>
  <c r="C265" i="6" s="1"/>
  <c r="B433" i="6"/>
  <c r="C433" i="6" s="1"/>
  <c r="B391" i="6"/>
  <c r="C391" i="6" s="1"/>
  <c r="B221" i="6"/>
  <c r="C221" i="6" s="1"/>
  <c r="B148" i="6"/>
  <c r="C148" i="6" s="1"/>
  <c r="B330" i="6"/>
  <c r="C330" i="6" s="1"/>
  <c r="B37" i="6"/>
  <c r="C37" i="6" s="1"/>
  <c r="B396" i="6"/>
  <c r="C396" i="6" s="1"/>
  <c r="B322" i="6"/>
  <c r="C322" i="6" s="1"/>
  <c r="B296" i="6"/>
  <c r="C296" i="6" s="1"/>
  <c r="B334" i="6"/>
  <c r="C334" i="6" s="1"/>
  <c r="B363" i="6"/>
  <c r="C363" i="6" s="1"/>
  <c r="B73" i="6"/>
  <c r="C73" i="6" s="1"/>
  <c r="B262" i="6"/>
  <c r="C262" i="6" s="1"/>
  <c r="B241" i="6"/>
  <c r="C241" i="6" s="1"/>
  <c r="B319" i="6"/>
  <c r="C319" i="6" s="1"/>
  <c r="B246" i="6"/>
  <c r="C246" i="6" s="1"/>
  <c r="B173" i="6"/>
  <c r="C173" i="6" s="1"/>
  <c r="B100" i="6"/>
  <c r="C100" i="6" s="1"/>
  <c r="B161" i="6"/>
  <c r="C161" i="6" s="1"/>
  <c r="B352" i="6"/>
  <c r="C352" i="6" s="1"/>
  <c r="B210" i="6"/>
  <c r="C210" i="6" s="1"/>
  <c r="B63" i="6"/>
  <c r="C63" i="6" s="1"/>
  <c r="B38" i="6"/>
  <c r="C38" i="6" s="1"/>
  <c r="B2" i="6"/>
  <c r="B68" i="6"/>
  <c r="C68" i="6" s="1"/>
  <c r="B348" i="6"/>
  <c r="C348" i="6" s="1"/>
  <c r="B347" i="6"/>
  <c r="C347" i="6" s="1"/>
  <c r="B274" i="6"/>
  <c r="C274" i="6" s="1"/>
  <c r="B273" i="6"/>
  <c r="C273" i="6" s="1"/>
  <c r="B248" i="6"/>
  <c r="C248" i="6" s="1"/>
  <c r="B238" i="6"/>
  <c r="C238" i="6" s="1"/>
  <c r="B267" i="6"/>
  <c r="C267" i="6" s="1"/>
  <c r="B387" i="6"/>
  <c r="C387" i="6" s="1"/>
  <c r="B166" i="6"/>
  <c r="C166" i="6" s="1"/>
  <c r="B145" i="6"/>
  <c r="C145" i="6" s="1"/>
  <c r="B295" i="6"/>
  <c r="C295" i="6" s="1"/>
  <c r="B222" i="6"/>
  <c r="C222" i="6" s="1"/>
  <c r="B149" i="6"/>
  <c r="C149" i="6" s="1"/>
  <c r="B76" i="6"/>
  <c r="C76" i="6" s="1"/>
  <c r="B137" i="6"/>
  <c r="C137" i="6" s="1"/>
  <c r="B328" i="6"/>
  <c r="C328" i="6" s="1"/>
  <c r="B162" i="6"/>
  <c r="C162" i="6" s="1"/>
  <c r="B39" i="6"/>
  <c r="C39" i="6" s="1"/>
  <c r="B14" i="6"/>
  <c r="C14" i="6" s="1"/>
  <c r="B453" i="6"/>
  <c r="C453" i="6" s="1"/>
  <c r="B44" i="6"/>
  <c r="C44" i="6" s="1"/>
  <c r="B324" i="6"/>
  <c r="C324" i="6" s="1"/>
  <c r="B323" i="6"/>
  <c r="C323" i="6" s="1"/>
  <c r="B250" i="6"/>
  <c r="C250" i="6" s="1"/>
  <c r="B249" i="6"/>
  <c r="C249" i="6" s="1"/>
  <c r="B224" i="6"/>
  <c r="C224" i="6" s="1"/>
  <c r="B142" i="6"/>
  <c r="C142" i="6" s="1"/>
  <c r="B171" i="6"/>
  <c r="C171" i="6" s="1"/>
  <c r="B288" i="6"/>
  <c r="C288" i="6" s="1"/>
  <c r="B51" i="6"/>
  <c r="C51" i="6" s="1"/>
  <c r="B48" i="6"/>
  <c r="C48" i="6" s="1"/>
  <c r="B271" i="6"/>
  <c r="C271" i="6" s="1"/>
  <c r="B198" i="6"/>
  <c r="C198" i="6" s="1"/>
  <c r="B125" i="6"/>
  <c r="C125" i="6" s="1"/>
  <c r="B52" i="6"/>
  <c r="C52" i="6" s="1"/>
  <c r="B113" i="6"/>
  <c r="C113" i="6" s="1"/>
  <c r="B304" i="6"/>
  <c r="C304" i="6" s="1"/>
  <c r="B138" i="6"/>
  <c r="C138" i="6" s="1"/>
  <c r="B15" i="6"/>
  <c r="C15" i="6" s="1"/>
  <c r="B213" i="6"/>
  <c r="C213" i="6" s="1"/>
  <c r="B429" i="6"/>
  <c r="C429" i="6" s="1"/>
  <c r="B20" i="6"/>
  <c r="C20" i="6" s="1"/>
  <c r="B300" i="6"/>
  <c r="C300" i="6" s="1"/>
  <c r="B299" i="6"/>
  <c r="C299" i="6" s="1"/>
  <c r="B226" i="6"/>
  <c r="C226" i="6" s="1"/>
  <c r="B225" i="6"/>
  <c r="C225" i="6" s="1"/>
  <c r="B200" i="6"/>
  <c r="C200" i="6" s="1"/>
  <c r="B26" i="6"/>
  <c r="C26" i="6" s="1"/>
  <c r="B75" i="6"/>
  <c r="C75" i="6" s="1"/>
  <c r="B383" i="6"/>
  <c r="C383" i="6" s="1"/>
  <c r="B8" i="6"/>
  <c r="C8" i="6" s="1"/>
  <c r="B195" i="6"/>
  <c r="C195" i="6" s="1"/>
  <c r="B247" i="6"/>
  <c r="C247" i="6" s="1"/>
  <c r="B174" i="6"/>
  <c r="C174" i="6" s="1"/>
  <c r="B101" i="6"/>
  <c r="C101" i="6" s="1"/>
  <c r="B28" i="6"/>
  <c r="C28" i="6" s="1"/>
  <c r="B89" i="6"/>
  <c r="C89" i="6" s="1"/>
  <c r="B280" i="6"/>
  <c r="C280" i="6" s="1"/>
  <c r="B90" i="6"/>
  <c r="C90" i="6" s="1"/>
  <c r="B285" i="6"/>
  <c r="C285" i="6" s="1"/>
  <c r="B493" i="6"/>
  <c r="C493" i="6" s="1"/>
  <c r="B333" i="6"/>
  <c r="C333" i="6" s="1"/>
  <c r="B475" i="6"/>
  <c r="C475" i="6" s="1"/>
  <c r="B276" i="6"/>
  <c r="C276" i="6" s="1"/>
  <c r="B275" i="6"/>
  <c r="C275" i="6" s="1"/>
  <c r="B202" i="6"/>
  <c r="C202" i="6" s="1"/>
  <c r="B201" i="6"/>
  <c r="C201" i="6" s="1"/>
  <c r="B176" i="6"/>
  <c r="C176" i="6" s="1"/>
  <c r="B99" i="6"/>
  <c r="C99" i="6" s="1"/>
  <c r="B3" i="6"/>
  <c r="C3" i="6" s="1"/>
  <c r="J6" i="1"/>
  <c r="I6" i="1"/>
  <c r="I5" i="1"/>
  <c r="J7" i="1"/>
  <c r="J4" i="1"/>
  <c r="I4" i="1"/>
  <c r="J11" i="1"/>
  <c r="I11" i="1"/>
  <c r="I3" i="1"/>
  <c r="J3" i="1"/>
  <c r="I13" i="1"/>
  <c r="J13" i="1"/>
  <c r="I8" i="1"/>
  <c r="J8" i="1"/>
  <c r="I2" i="1"/>
  <c r="J2" i="1"/>
  <c r="F2" i="6" l="1"/>
  <c r="G2" i="6" s="1"/>
  <c r="F49" i="6"/>
  <c r="G49" i="6" s="1"/>
  <c r="F16" i="6"/>
  <c r="G16" i="6" s="1"/>
  <c r="F85" i="6"/>
  <c r="G85" i="6" s="1"/>
  <c r="F158" i="6"/>
  <c r="G158" i="6" s="1"/>
  <c r="F479" i="6"/>
  <c r="G479" i="6" s="1"/>
  <c r="F104" i="6"/>
  <c r="G104" i="6" s="1"/>
  <c r="F289" i="6"/>
  <c r="G289" i="6" s="1"/>
  <c r="F324" i="6"/>
  <c r="G324" i="6" s="1"/>
  <c r="F258" i="6"/>
  <c r="G258" i="6" s="1"/>
  <c r="F419" i="6"/>
  <c r="G419" i="6" s="1"/>
  <c r="F89" i="6"/>
  <c r="G89" i="6" s="1"/>
  <c r="F280" i="6"/>
  <c r="G280" i="6" s="1"/>
  <c r="F471" i="6"/>
  <c r="G471" i="6" s="1"/>
  <c r="F141" i="6"/>
  <c r="G141" i="6" s="1"/>
  <c r="F341" i="6"/>
  <c r="G341" i="6" s="1"/>
  <c r="F53" i="6"/>
  <c r="G53" i="6" s="1"/>
  <c r="F268" i="6"/>
  <c r="G268" i="6" s="1"/>
  <c r="F483" i="6"/>
  <c r="G483" i="6" s="1"/>
  <c r="F195" i="6"/>
  <c r="G195" i="6" s="1"/>
  <c r="F299" i="6"/>
  <c r="G299" i="6" s="1"/>
  <c r="F235" i="6"/>
  <c r="G235" i="6" s="1"/>
  <c r="F488" i="6"/>
  <c r="G488" i="6" s="1"/>
  <c r="F74" i="6"/>
  <c r="G74" i="6" s="1"/>
  <c r="F282" i="6"/>
  <c r="G282" i="6" s="1"/>
  <c r="F156" i="6"/>
  <c r="G156" i="6" s="1"/>
  <c r="F457" i="6"/>
  <c r="G457" i="6" s="1"/>
  <c r="F111" i="6"/>
  <c r="G111" i="6" s="1"/>
  <c r="F377" i="6"/>
  <c r="G377" i="6" s="1"/>
  <c r="F237" i="6"/>
  <c r="G237" i="6" s="1"/>
  <c r="F415" i="6"/>
  <c r="G415" i="6" s="1"/>
  <c r="F200" i="6"/>
  <c r="G200" i="6" s="1"/>
  <c r="F364" i="6"/>
  <c r="G364" i="6" s="1"/>
  <c r="F409" i="6"/>
  <c r="G409" i="6" s="1"/>
  <c r="F402" i="6"/>
  <c r="G402" i="6" s="1"/>
  <c r="F372" i="6"/>
  <c r="G372" i="6" s="1"/>
  <c r="F232" i="6"/>
  <c r="G232" i="6" s="1"/>
  <c r="F300" i="6"/>
  <c r="G300" i="6" s="1"/>
  <c r="F57" i="6"/>
  <c r="G57" i="6" s="1"/>
  <c r="F367" i="6"/>
  <c r="G367" i="6" s="1"/>
  <c r="F438" i="6"/>
  <c r="G438" i="6" s="1"/>
  <c r="F55" i="6"/>
  <c r="G55" i="6" s="1"/>
  <c r="F297" i="6"/>
  <c r="G297" i="6" s="1"/>
  <c r="F43" i="6"/>
  <c r="G43" i="6" s="1"/>
  <c r="F209" i="6"/>
  <c r="G209" i="6" s="1"/>
  <c r="F92" i="6"/>
  <c r="G92" i="6" s="1"/>
  <c r="F494" i="6"/>
  <c r="G494" i="6" s="1"/>
  <c r="F475" i="6"/>
  <c r="G475" i="6" s="1"/>
  <c r="F278" i="6"/>
  <c r="G278" i="6" s="1"/>
  <c r="F338" i="6"/>
  <c r="G338" i="6" s="1"/>
  <c r="F146" i="6"/>
  <c r="G146" i="6" s="1"/>
  <c r="F187" i="6"/>
  <c r="G187" i="6" s="1"/>
  <c r="F469" i="6"/>
  <c r="G469" i="6" s="1"/>
  <c r="F286" i="6"/>
  <c r="G286" i="6" s="1"/>
  <c r="F153" i="6"/>
  <c r="G153" i="6" s="1"/>
  <c r="F59" i="6"/>
  <c r="G59" i="6" s="1"/>
  <c r="F373" i="6"/>
  <c r="G373" i="6" s="1"/>
  <c r="F464" i="6"/>
  <c r="G464" i="6" s="1"/>
  <c r="F15" i="6"/>
  <c r="G15" i="6" s="1"/>
  <c r="F497" i="6"/>
  <c r="G497" i="6" s="1"/>
  <c r="F48" i="6"/>
  <c r="G48" i="6" s="1"/>
  <c r="F121" i="6"/>
  <c r="G121" i="6" s="1"/>
  <c r="F449" i="6"/>
  <c r="G449" i="6" s="1"/>
  <c r="F71" i="6"/>
  <c r="G71" i="6" s="1"/>
  <c r="F259" i="6"/>
  <c r="G259" i="6" s="1"/>
  <c r="F261" i="6"/>
  <c r="G261" i="6" s="1"/>
  <c r="F228" i="6"/>
  <c r="G228" i="6" s="1"/>
  <c r="F392" i="6"/>
  <c r="G392" i="6" s="1"/>
  <c r="F62" i="6"/>
  <c r="G62" i="6" s="1"/>
  <c r="F253" i="6"/>
  <c r="G253" i="6" s="1"/>
  <c r="F444" i="6"/>
  <c r="G444" i="6" s="1"/>
  <c r="F114" i="6"/>
  <c r="G114" i="6" s="1"/>
  <c r="F317" i="6"/>
  <c r="G317" i="6" s="1"/>
  <c r="F29" i="6"/>
  <c r="G29" i="6" s="1"/>
  <c r="F244" i="6"/>
  <c r="G244" i="6" s="1"/>
  <c r="F459" i="6"/>
  <c r="G459" i="6" s="1"/>
  <c r="F171" i="6"/>
  <c r="G171" i="6" s="1"/>
  <c r="F64" i="6"/>
  <c r="G64" i="6" s="1"/>
  <c r="F58" i="6"/>
  <c r="G58" i="6" s="1"/>
  <c r="F231" i="6"/>
  <c r="G231" i="6" s="1"/>
  <c r="F381" i="6"/>
  <c r="G381" i="6" s="1"/>
  <c r="F61" i="6"/>
  <c r="G61" i="6" s="1"/>
  <c r="F149" i="6"/>
  <c r="G149" i="6" s="1"/>
  <c r="F76" i="6"/>
  <c r="G76" i="6" s="1"/>
  <c r="F408" i="6"/>
  <c r="G408" i="6" s="1"/>
  <c r="F233" i="6"/>
  <c r="G233" i="6" s="1"/>
  <c r="F380" i="6"/>
  <c r="G380" i="6" s="1"/>
  <c r="F157" i="6"/>
  <c r="G157" i="6" s="1"/>
  <c r="F336" i="6"/>
  <c r="G336" i="6" s="1"/>
  <c r="F65" i="6"/>
  <c r="G65" i="6" s="1"/>
  <c r="F127" i="6"/>
  <c r="G127" i="6" s="1"/>
  <c r="F164" i="6"/>
  <c r="G164" i="6" s="1"/>
  <c r="F321" i="6"/>
  <c r="G321" i="6" s="1"/>
  <c r="F334" i="6"/>
  <c r="G334" i="6" s="1"/>
  <c r="F198" i="6"/>
  <c r="G198" i="6" s="1"/>
  <c r="F101" i="6"/>
  <c r="G101" i="6" s="1"/>
  <c r="F28" i="6"/>
  <c r="G28" i="6" s="1"/>
  <c r="F370" i="6"/>
  <c r="G370" i="6" s="1"/>
  <c r="F303" i="6"/>
  <c r="G303" i="6" s="1"/>
  <c r="F344" i="6"/>
  <c r="G344" i="6" s="1"/>
  <c r="F93" i="6"/>
  <c r="G93" i="6" s="1"/>
  <c r="F224" i="6"/>
  <c r="G224" i="6" s="1"/>
  <c r="F266" i="6"/>
  <c r="G266" i="6" s="1"/>
  <c r="F247" i="6"/>
  <c r="G247" i="6" s="1"/>
  <c r="F154" i="6"/>
  <c r="G154" i="6" s="1"/>
  <c r="F466" i="6"/>
  <c r="G466" i="6" s="1"/>
  <c r="F86" i="6"/>
  <c r="G86" i="6" s="1"/>
  <c r="F122" i="6"/>
  <c r="G122" i="6" s="1"/>
  <c r="F12" i="6"/>
  <c r="G12" i="6" s="1"/>
  <c r="F322" i="6"/>
  <c r="G322" i="6" s="1"/>
  <c r="F288" i="6"/>
  <c r="G288" i="6" s="1"/>
  <c r="F498" i="6"/>
  <c r="G498" i="6" s="1"/>
  <c r="F110" i="6"/>
  <c r="G110" i="6" s="1"/>
  <c r="F331" i="6"/>
  <c r="G331" i="6" s="1"/>
  <c r="F21" i="6"/>
  <c r="G21" i="6" s="1"/>
  <c r="F107" i="6"/>
  <c r="G107" i="6" s="1"/>
  <c r="F421" i="6"/>
  <c r="G421" i="6" s="1"/>
  <c r="F358" i="6"/>
  <c r="G358" i="6" s="1"/>
  <c r="F67" i="6"/>
  <c r="G67" i="6" s="1"/>
  <c r="F128" i="6"/>
  <c r="G128" i="6" s="1"/>
  <c r="F183" i="6"/>
  <c r="G183" i="6" s="1"/>
  <c r="F185" i="6"/>
  <c r="G185" i="6" s="1"/>
  <c r="F434" i="6"/>
  <c r="G434" i="6" s="1"/>
  <c r="F177" i="6"/>
  <c r="G177" i="6" s="1"/>
  <c r="F113" i="6"/>
  <c r="G113" i="6" s="1"/>
  <c r="F401" i="6"/>
  <c r="G401" i="6" s="1"/>
  <c r="F140" i="6"/>
  <c r="G140" i="6" s="1"/>
  <c r="F326" i="6"/>
  <c r="G326" i="6" s="1"/>
  <c r="F440" i="6"/>
  <c r="G440" i="6" s="1"/>
  <c r="F355" i="6"/>
  <c r="G355" i="6" s="1"/>
  <c r="F167" i="6"/>
  <c r="G167" i="6" s="1"/>
  <c r="F94" i="6"/>
  <c r="G94" i="6" s="1"/>
  <c r="F31" i="6"/>
  <c r="G31" i="6" s="1"/>
  <c r="F138" i="6"/>
  <c r="G138" i="6" s="1"/>
  <c r="F424" i="6"/>
  <c r="G424" i="6" s="1"/>
  <c r="F242" i="6"/>
  <c r="G242" i="6" s="1"/>
  <c r="F109" i="6"/>
  <c r="G109" i="6" s="1"/>
  <c r="F18" i="6"/>
  <c r="G18" i="6" s="1"/>
  <c r="F329" i="6"/>
  <c r="G329" i="6" s="1"/>
  <c r="F427" i="6"/>
  <c r="G427" i="6" s="1"/>
  <c r="F465" i="6"/>
  <c r="G465" i="6" s="1"/>
  <c r="F463" i="6"/>
  <c r="G463" i="6" s="1"/>
  <c r="F14" i="6"/>
  <c r="G14" i="6" s="1"/>
  <c r="F84" i="6"/>
  <c r="G84" i="6" s="1"/>
  <c r="F416" i="6"/>
  <c r="G416" i="6" s="1"/>
  <c r="F41" i="6"/>
  <c r="G41" i="6" s="1"/>
  <c r="F229" i="6"/>
  <c r="G229" i="6" s="1"/>
  <c r="F165" i="6"/>
  <c r="G165" i="6" s="1"/>
  <c r="F192" i="6"/>
  <c r="G192" i="6" s="1"/>
  <c r="F362" i="6"/>
  <c r="G362" i="6" s="1"/>
  <c r="F35" i="6"/>
  <c r="G35" i="6" s="1"/>
  <c r="F226" i="6"/>
  <c r="G226" i="6" s="1"/>
  <c r="F417" i="6"/>
  <c r="G417" i="6" s="1"/>
  <c r="F87" i="6"/>
  <c r="G87" i="6" s="1"/>
  <c r="F293" i="6"/>
  <c r="G293" i="6" s="1"/>
  <c r="F5" i="6"/>
  <c r="G5" i="6" s="1"/>
  <c r="F220" i="6"/>
  <c r="G220" i="6" s="1"/>
  <c r="F435" i="6"/>
  <c r="G435" i="6" s="1"/>
  <c r="F147" i="6"/>
  <c r="G147" i="6" s="1"/>
  <c r="F295" i="6"/>
  <c r="G295" i="6" s="1"/>
  <c r="F181" i="6"/>
  <c r="G181" i="6" s="1"/>
  <c r="F120" i="6"/>
  <c r="G120" i="6" s="1"/>
  <c r="F56" i="6"/>
  <c r="G56" i="6" s="1"/>
  <c r="F433" i="6"/>
  <c r="G433" i="6" s="1"/>
  <c r="F176" i="6"/>
  <c r="G176" i="6" s="1"/>
  <c r="F458" i="6"/>
  <c r="G458" i="6" s="1"/>
  <c r="F277" i="6"/>
  <c r="G277" i="6" s="1"/>
  <c r="F211" i="6"/>
  <c r="G211" i="6" s="1"/>
  <c r="F223" i="6"/>
  <c r="G223" i="6" s="1"/>
  <c r="F455" i="6"/>
  <c r="G455" i="6" s="1"/>
  <c r="F452" i="6"/>
  <c r="G452" i="6" s="1"/>
  <c r="F443" i="6"/>
  <c r="G443" i="6" s="1"/>
  <c r="F80" i="6"/>
  <c r="G80" i="6" s="1"/>
  <c r="F376" i="6"/>
  <c r="G376" i="6" s="1"/>
  <c r="F190" i="6"/>
  <c r="G190" i="6" s="1"/>
  <c r="F20" i="6"/>
  <c r="G20" i="6" s="1"/>
  <c r="F474" i="6"/>
  <c r="G474" i="6" s="1"/>
  <c r="F284" i="6"/>
  <c r="G284" i="6" s="1"/>
  <c r="F393" i="6"/>
  <c r="G393" i="6" s="1"/>
  <c r="F394" i="6"/>
  <c r="G394" i="6" s="1"/>
  <c r="F426" i="6"/>
  <c r="G426" i="6" s="1"/>
  <c r="F496" i="6"/>
  <c r="G496" i="6" s="1"/>
  <c r="F47" i="6"/>
  <c r="G47" i="6" s="1"/>
  <c r="F383" i="6"/>
  <c r="G383" i="6" s="1"/>
  <c r="F11" i="6"/>
  <c r="G11" i="6" s="1"/>
  <c r="F193" i="6"/>
  <c r="G193" i="6" s="1"/>
  <c r="F105" i="6"/>
  <c r="G105" i="6" s="1"/>
  <c r="F162" i="6"/>
  <c r="G162" i="6" s="1"/>
  <c r="F335" i="6"/>
  <c r="G335" i="6" s="1"/>
  <c r="F8" i="6"/>
  <c r="G8" i="6" s="1"/>
  <c r="F199" i="6"/>
  <c r="G199" i="6" s="1"/>
  <c r="F390" i="6"/>
  <c r="G390" i="6" s="1"/>
  <c r="F60" i="6"/>
  <c r="G60" i="6" s="1"/>
  <c r="F269" i="6"/>
  <c r="G269" i="6" s="1"/>
  <c r="F484" i="6"/>
  <c r="G484" i="6" s="1"/>
  <c r="F196" i="6"/>
  <c r="G196" i="6" s="1"/>
  <c r="F411" i="6"/>
  <c r="G411" i="6" s="1"/>
  <c r="F123" i="6"/>
  <c r="G123" i="6" s="1"/>
  <c r="F81" i="6"/>
  <c r="G81" i="6" s="1"/>
  <c r="F342" i="6"/>
  <c r="G342" i="6" s="1"/>
  <c r="F493" i="6"/>
  <c r="G493" i="6" s="1"/>
  <c r="F285" i="6"/>
  <c r="G285" i="6" s="1"/>
  <c r="F205" i="6"/>
  <c r="G205" i="6" s="1"/>
  <c r="F310" i="6"/>
  <c r="G310" i="6" s="1"/>
  <c r="F40" i="6"/>
  <c r="G40" i="6" s="1"/>
  <c r="F252" i="6"/>
  <c r="G252" i="6" s="1"/>
  <c r="F3" i="6"/>
  <c r="G3" i="6" s="1"/>
  <c r="F369" i="6"/>
  <c r="G369" i="6" s="1"/>
  <c r="F186" i="6"/>
  <c r="G186" i="6" s="1"/>
  <c r="F302" i="6"/>
  <c r="G302" i="6" s="1"/>
  <c r="F217" i="6"/>
  <c r="G217" i="6" s="1"/>
  <c r="F314" i="6"/>
  <c r="G314" i="6" s="1"/>
  <c r="F182" i="6"/>
  <c r="G182" i="6" s="1"/>
  <c r="F255" i="6"/>
  <c r="G255" i="6" s="1"/>
  <c r="F487" i="6"/>
  <c r="G487" i="6" s="1"/>
  <c r="F492" i="6"/>
  <c r="G492" i="6" s="1"/>
  <c r="F256" i="6"/>
  <c r="G256" i="6" s="1"/>
  <c r="F175" i="6"/>
  <c r="G175" i="6" s="1"/>
  <c r="F346" i="6"/>
  <c r="G346" i="6" s="1"/>
  <c r="F96" i="6"/>
  <c r="G96" i="6" s="1"/>
  <c r="F25" i="6"/>
  <c r="G25" i="6" s="1"/>
  <c r="F91" i="6"/>
  <c r="G91" i="6" s="1"/>
  <c r="F319" i="6"/>
  <c r="G319" i="6" s="1"/>
  <c r="F46" i="6"/>
  <c r="G46" i="6" s="1"/>
  <c r="F343" i="6"/>
  <c r="G343" i="6" s="1"/>
  <c r="F328" i="6"/>
  <c r="G328" i="6" s="1"/>
  <c r="F396" i="6"/>
  <c r="G396" i="6" s="1"/>
  <c r="F23" i="6"/>
  <c r="G23" i="6" s="1"/>
  <c r="F332" i="6"/>
  <c r="G332" i="6" s="1"/>
  <c r="F152" i="6"/>
  <c r="G152" i="6" s="1"/>
  <c r="F467" i="6"/>
  <c r="G467" i="6" s="1"/>
  <c r="F378" i="6"/>
  <c r="G378" i="6" s="1"/>
  <c r="F240" i="6"/>
  <c r="G240" i="6" s="1"/>
  <c r="F349" i="6"/>
  <c r="G349" i="6" s="1"/>
  <c r="F350" i="6"/>
  <c r="G350" i="6" s="1"/>
  <c r="F386" i="6"/>
  <c r="G386" i="6" s="1"/>
  <c r="F462" i="6"/>
  <c r="G462" i="6" s="1"/>
  <c r="F13" i="6"/>
  <c r="G13" i="6" s="1"/>
  <c r="F353" i="6"/>
  <c r="G353" i="6" s="1"/>
  <c r="F420" i="6"/>
  <c r="G420" i="6" s="1"/>
  <c r="F163" i="6"/>
  <c r="G163" i="6" s="1"/>
  <c r="F42" i="6"/>
  <c r="G42" i="6" s="1"/>
  <c r="F132" i="6"/>
  <c r="G132" i="6" s="1"/>
  <c r="F308" i="6"/>
  <c r="G308" i="6" s="1"/>
  <c r="F499" i="6"/>
  <c r="G499" i="6" s="1"/>
  <c r="F169" i="6"/>
  <c r="G169" i="6" s="1"/>
  <c r="F360" i="6"/>
  <c r="G360" i="6" s="1"/>
  <c r="F33" i="6"/>
  <c r="G33" i="6" s="1"/>
  <c r="F245" i="6"/>
  <c r="G245" i="6" s="1"/>
  <c r="F460" i="6"/>
  <c r="G460" i="6" s="1"/>
  <c r="F172" i="6"/>
  <c r="G172" i="6" s="1"/>
  <c r="F387" i="6"/>
  <c r="G387" i="6" s="1"/>
  <c r="F99" i="6"/>
  <c r="G99" i="6" s="1"/>
  <c r="F368" i="6"/>
  <c r="G368" i="6" s="1"/>
  <c r="F366" i="6"/>
  <c r="G366" i="6" s="1"/>
  <c r="F320" i="6"/>
  <c r="G320" i="6" s="1"/>
  <c r="F83" i="6"/>
  <c r="G83" i="6" s="1"/>
  <c r="F95" i="6"/>
  <c r="G95" i="6" s="1"/>
  <c r="F318" i="6"/>
  <c r="G318" i="6" s="1"/>
  <c r="F375" i="6"/>
  <c r="G375" i="6" s="1"/>
  <c r="F151" i="6"/>
  <c r="G151" i="6" s="1"/>
  <c r="F50" i="6"/>
  <c r="G50" i="6" s="1"/>
  <c r="F90" i="6"/>
  <c r="G90" i="6" s="1"/>
  <c r="F202" i="6"/>
  <c r="G202" i="6" s="1"/>
  <c r="F134" i="6"/>
  <c r="G134" i="6" s="1"/>
  <c r="F384" i="6"/>
  <c r="G384" i="6" s="1"/>
  <c r="F446" i="6"/>
  <c r="G446" i="6" s="1"/>
  <c r="F116" i="6"/>
  <c r="G116" i="6" s="1"/>
  <c r="F307" i="6"/>
  <c r="G307" i="6" s="1"/>
  <c r="F168" i="6"/>
  <c r="G168" i="6" s="1"/>
  <c r="F365" i="6"/>
  <c r="G365" i="6" s="1"/>
  <c r="F77" i="6"/>
  <c r="G77" i="6" s="1"/>
  <c r="F292" i="6"/>
  <c r="G292" i="6" s="1"/>
  <c r="F4" i="6"/>
  <c r="G4" i="6" s="1"/>
  <c r="F219" i="6"/>
  <c r="G219" i="6" s="1"/>
  <c r="F130" i="6"/>
  <c r="G130" i="6" s="1"/>
  <c r="F371" i="6"/>
  <c r="G371" i="6" s="1"/>
  <c r="F184" i="6"/>
  <c r="G184" i="6" s="1"/>
  <c r="F405" i="6"/>
  <c r="G405" i="6" s="1"/>
  <c r="F263" i="6"/>
  <c r="G263" i="6" s="1"/>
  <c r="F327" i="6"/>
  <c r="G327" i="6" s="1"/>
  <c r="F26" i="6"/>
  <c r="G26" i="6" s="1"/>
  <c r="F456" i="6"/>
  <c r="G456" i="6" s="1"/>
  <c r="F453" i="6"/>
  <c r="G453" i="6" s="1"/>
  <c r="F212" i="6"/>
  <c r="G212" i="6" s="1"/>
  <c r="F257" i="6"/>
  <c r="G257" i="6" s="1"/>
  <c r="F359" i="6"/>
  <c r="G359" i="6" s="1"/>
  <c r="F179" i="6"/>
  <c r="G179" i="6" s="1"/>
  <c r="F82" i="6"/>
  <c r="G82" i="6" s="1"/>
  <c r="F379" i="6"/>
  <c r="G379" i="6" s="1"/>
  <c r="F486" i="6"/>
  <c r="G486" i="6" s="1"/>
  <c r="F490" i="6"/>
  <c r="G490" i="6" s="1"/>
  <c r="F251" i="6"/>
  <c r="G251" i="6" s="1"/>
  <c r="F481" i="6"/>
  <c r="G481" i="6" s="1"/>
  <c r="F491" i="6"/>
  <c r="G491" i="6" s="1"/>
  <c r="F119" i="6"/>
  <c r="G119" i="6" s="1"/>
  <c r="F174" i="6"/>
  <c r="G174" i="6" s="1"/>
  <c r="F222" i="6"/>
  <c r="G222" i="6" s="1"/>
  <c r="F400" i="6"/>
  <c r="G400" i="6" s="1"/>
  <c r="F399" i="6"/>
  <c r="G399" i="6" s="1"/>
  <c r="F442" i="6"/>
  <c r="G442" i="6" s="1"/>
  <c r="F262" i="6"/>
  <c r="G262" i="6" s="1"/>
  <c r="F404" i="6"/>
  <c r="G404" i="6" s="1"/>
  <c r="F216" i="6"/>
  <c r="G216" i="6" s="1"/>
  <c r="F270" i="6"/>
  <c r="G270" i="6" s="1"/>
  <c r="F265" i="6"/>
  <c r="G265" i="6" s="1"/>
  <c r="F430" i="6"/>
  <c r="G430" i="6" s="1"/>
  <c r="F287" i="6"/>
  <c r="G287" i="6" s="1"/>
  <c r="F108" i="6"/>
  <c r="G108" i="6" s="1"/>
  <c r="F422" i="6"/>
  <c r="G422" i="6" s="1"/>
  <c r="F296" i="6"/>
  <c r="G296" i="6" s="1"/>
  <c r="F188" i="6"/>
  <c r="G188" i="6" s="1"/>
  <c r="F312" i="6"/>
  <c r="G312" i="6" s="1"/>
  <c r="F313" i="6"/>
  <c r="G313" i="6" s="1"/>
  <c r="F348" i="6"/>
  <c r="G348" i="6" s="1"/>
  <c r="F425" i="6"/>
  <c r="G425" i="6" s="1"/>
  <c r="F450" i="6"/>
  <c r="G450" i="6" s="1"/>
  <c r="F323" i="6"/>
  <c r="G323" i="6" s="1"/>
  <c r="F72" i="6"/>
  <c r="G72" i="6" s="1"/>
  <c r="F133" i="6"/>
  <c r="G133" i="6" s="1"/>
  <c r="F477" i="6"/>
  <c r="G477" i="6" s="1"/>
  <c r="F102" i="6"/>
  <c r="G102" i="6" s="1"/>
  <c r="F281" i="6"/>
  <c r="G281" i="6" s="1"/>
  <c r="F472" i="6"/>
  <c r="G472" i="6" s="1"/>
  <c r="F142" i="6"/>
  <c r="G142" i="6" s="1"/>
  <c r="F333" i="6"/>
  <c r="G333" i="6" s="1"/>
  <c r="F6" i="6"/>
  <c r="G6" i="6" s="1"/>
  <c r="F221" i="6"/>
  <c r="G221" i="6" s="1"/>
  <c r="F436" i="6"/>
  <c r="G436" i="6" s="1"/>
  <c r="F148" i="6"/>
  <c r="G148" i="6" s="1"/>
  <c r="F363" i="6"/>
  <c r="G363" i="6" s="1"/>
  <c r="F75" i="6"/>
  <c r="G75" i="6" s="1"/>
  <c r="F68" i="6"/>
  <c r="G68" i="6" s="1"/>
  <c r="F298" i="6"/>
  <c r="G298" i="6" s="1"/>
  <c r="F144" i="6"/>
  <c r="G144" i="6" s="1"/>
  <c r="F406" i="6"/>
  <c r="G406" i="6" s="1"/>
  <c r="F397" i="6"/>
  <c r="G397" i="6" s="1"/>
  <c r="F189" i="6"/>
  <c r="G189" i="6" s="1"/>
  <c r="F126" i="6"/>
  <c r="G126" i="6" s="1"/>
  <c r="F236" i="6"/>
  <c r="G236" i="6" s="1"/>
  <c r="F352" i="6"/>
  <c r="G352" i="6" s="1"/>
  <c r="F473" i="6"/>
  <c r="G473" i="6" s="1"/>
  <c r="F316" i="6"/>
  <c r="G316" i="6" s="1"/>
  <c r="F117" i="6"/>
  <c r="G117" i="6" s="1"/>
  <c r="F482" i="6"/>
  <c r="G482" i="6" s="1"/>
  <c r="F180" i="6"/>
  <c r="G180" i="6" s="1"/>
  <c r="F79" i="6"/>
  <c r="G79" i="6" s="1"/>
  <c r="F301" i="6"/>
  <c r="G301" i="6" s="1"/>
  <c r="F357" i="6"/>
  <c r="G357" i="6" s="1"/>
  <c r="F250" i="6"/>
  <c r="G250" i="6" s="1"/>
  <c r="F97" i="6"/>
  <c r="G97" i="6" s="1"/>
  <c r="F45" i="6"/>
  <c r="G45" i="6" s="1"/>
  <c r="F272" i="6"/>
  <c r="G272" i="6" s="1"/>
  <c r="F271" i="6"/>
  <c r="G271" i="6" s="1"/>
  <c r="F395" i="6"/>
  <c r="G395" i="6" s="1"/>
  <c r="F208" i="6"/>
  <c r="G208" i="6" s="1"/>
  <c r="F283" i="6"/>
  <c r="G283" i="6" s="1"/>
  <c r="F38" i="6"/>
  <c r="G38" i="6" s="1"/>
  <c r="F213" i="6"/>
  <c r="G213" i="6" s="1"/>
  <c r="F145" i="6"/>
  <c r="G145" i="6" s="1"/>
  <c r="F337" i="6"/>
  <c r="G337" i="6" s="1"/>
  <c r="F246" i="6"/>
  <c r="G246" i="6" s="1"/>
  <c r="F63" i="6"/>
  <c r="G63" i="6" s="1"/>
  <c r="F374" i="6"/>
  <c r="G374" i="6" s="1"/>
  <c r="F207" i="6"/>
  <c r="G207" i="6" s="1"/>
  <c r="F150" i="6"/>
  <c r="G150" i="6" s="1"/>
  <c r="F275" i="6"/>
  <c r="G275" i="6" s="1"/>
  <c r="F276" i="6"/>
  <c r="G276" i="6" s="1"/>
  <c r="F311" i="6"/>
  <c r="G311" i="6" s="1"/>
  <c r="F385" i="6"/>
  <c r="G385" i="6" s="1"/>
  <c r="F354" i="6"/>
  <c r="G354" i="6" s="1"/>
  <c r="F290" i="6"/>
  <c r="G290" i="6" s="1"/>
  <c r="F478" i="6"/>
  <c r="G478" i="6" s="1"/>
  <c r="F103" i="6"/>
  <c r="G103" i="6" s="1"/>
  <c r="F447" i="6"/>
  <c r="G447" i="6" s="1"/>
  <c r="F69" i="6"/>
  <c r="G69" i="6" s="1"/>
  <c r="F254" i="6"/>
  <c r="G254" i="6" s="1"/>
  <c r="F445" i="6"/>
  <c r="G445" i="6" s="1"/>
  <c r="F115" i="6"/>
  <c r="G115" i="6" s="1"/>
  <c r="F306" i="6"/>
  <c r="G306" i="6" s="1"/>
  <c r="F485" i="6"/>
  <c r="G485" i="6" s="1"/>
  <c r="F197" i="6"/>
  <c r="G197" i="6" s="1"/>
  <c r="F412" i="6"/>
  <c r="G412" i="6" s="1"/>
  <c r="F124" i="6"/>
  <c r="G124" i="6" s="1"/>
  <c r="F339" i="6"/>
  <c r="G339" i="6" s="1"/>
  <c r="F51" i="6"/>
  <c r="G51" i="6" s="1"/>
  <c r="F305" i="6"/>
  <c r="G305" i="6" s="1"/>
  <c r="F431" i="6"/>
  <c r="G431" i="6" s="1"/>
  <c r="F476" i="6"/>
  <c r="G476" i="6" s="1"/>
  <c r="F495" i="6"/>
  <c r="G495" i="6" s="1"/>
  <c r="F264" i="6"/>
  <c r="G264" i="6" s="1"/>
  <c r="F32" i="6"/>
  <c r="G32" i="6" s="1"/>
  <c r="F22" i="6"/>
  <c r="G22" i="6" s="1"/>
  <c r="F204" i="6"/>
  <c r="G204" i="6" s="1"/>
  <c r="F230" i="6"/>
  <c r="G230" i="6" s="1"/>
  <c r="F9" i="6"/>
  <c r="G9" i="6" s="1"/>
  <c r="F391" i="6"/>
  <c r="G391" i="6" s="1"/>
  <c r="F437" i="6"/>
  <c r="G437" i="6" s="1"/>
  <c r="F291" i="6"/>
  <c r="G291" i="6" s="1"/>
  <c r="F136" i="6"/>
  <c r="G136" i="6" s="1"/>
  <c r="F304" i="6"/>
  <c r="G304" i="6" s="1"/>
  <c r="F398" i="6"/>
  <c r="G398" i="6" s="1"/>
  <c r="F218" i="6"/>
  <c r="G218" i="6" s="1"/>
  <c r="F423" i="6"/>
  <c r="G423" i="6" s="1"/>
  <c r="F428" i="6"/>
  <c r="G428" i="6" s="1"/>
  <c r="F159" i="6"/>
  <c r="G159" i="6" s="1"/>
  <c r="F135" i="6"/>
  <c r="G135" i="6" s="1"/>
  <c r="F480" i="6"/>
  <c r="G480" i="6" s="1"/>
  <c r="F143" i="6"/>
  <c r="G143" i="6" s="1"/>
  <c r="F7" i="6"/>
  <c r="G7" i="6" s="1"/>
  <c r="F389" i="6"/>
  <c r="G389" i="6" s="1"/>
  <c r="F243" i="6"/>
  <c r="G243" i="6" s="1"/>
  <c r="F131" i="6"/>
  <c r="G131" i="6" s="1"/>
  <c r="F407" i="6"/>
  <c r="G407" i="6" s="1"/>
  <c r="F54" i="6"/>
  <c r="G54" i="6" s="1"/>
  <c r="F44" i="6"/>
  <c r="G44" i="6" s="1"/>
  <c r="F129" i="6"/>
  <c r="G129" i="6" s="1"/>
  <c r="F309" i="6"/>
  <c r="G309" i="6" s="1"/>
  <c r="F249" i="6"/>
  <c r="G249" i="6" s="1"/>
  <c r="F432" i="6"/>
  <c r="G432" i="6" s="1"/>
  <c r="F489" i="6"/>
  <c r="G489" i="6" s="1"/>
  <c r="F78" i="6"/>
  <c r="G78" i="6" s="1"/>
  <c r="F166" i="6"/>
  <c r="G166" i="6" s="1"/>
  <c r="F403" i="6"/>
  <c r="G403" i="6" s="1"/>
  <c r="F37" i="6"/>
  <c r="G37" i="6" s="1"/>
  <c r="F214" i="6"/>
  <c r="G214" i="6" s="1"/>
  <c r="F325" i="6"/>
  <c r="G325" i="6" s="1"/>
  <c r="F139" i="6"/>
  <c r="G139" i="6" s="1"/>
  <c r="F112" i="6"/>
  <c r="G112" i="6" s="1"/>
  <c r="F454" i="6"/>
  <c r="G454" i="6" s="1"/>
  <c r="F155" i="6"/>
  <c r="G155" i="6" s="1"/>
  <c r="F30" i="6"/>
  <c r="G30" i="6" s="1"/>
  <c r="F248" i="6"/>
  <c r="G248" i="6" s="1"/>
  <c r="F191" i="6"/>
  <c r="G191" i="6" s="1"/>
  <c r="F19" i="6"/>
  <c r="G19" i="6" s="1"/>
  <c r="F330" i="6"/>
  <c r="G330" i="6" s="1"/>
  <c r="F66" i="6"/>
  <c r="G66" i="6" s="1"/>
  <c r="F106" i="6"/>
  <c r="G106" i="6" s="1"/>
  <c r="F238" i="6"/>
  <c r="G238" i="6" s="1"/>
  <c r="F239" i="6"/>
  <c r="G239" i="6" s="1"/>
  <c r="F274" i="6"/>
  <c r="G274" i="6" s="1"/>
  <c r="F347" i="6"/>
  <c r="G347" i="6" s="1"/>
  <c r="F294" i="6"/>
  <c r="G294" i="6" s="1"/>
  <c r="F260" i="6"/>
  <c r="G260" i="6" s="1"/>
  <c r="F448" i="6"/>
  <c r="G448" i="6" s="1"/>
  <c r="F70" i="6"/>
  <c r="G70" i="6" s="1"/>
  <c r="F414" i="6"/>
  <c r="G414" i="6" s="1"/>
  <c r="F39" i="6"/>
  <c r="G39" i="6" s="1"/>
  <c r="F227" i="6"/>
  <c r="G227" i="6" s="1"/>
  <c r="F418" i="6"/>
  <c r="G418" i="6" s="1"/>
  <c r="F88" i="6"/>
  <c r="G88" i="6" s="1"/>
  <c r="F279" i="6"/>
  <c r="G279" i="6" s="1"/>
  <c r="F461" i="6"/>
  <c r="G461" i="6" s="1"/>
  <c r="F173" i="6"/>
  <c r="G173" i="6" s="1"/>
  <c r="F388" i="6"/>
  <c r="G388" i="6" s="1"/>
  <c r="F100" i="6"/>
  <c r="G100" i="6" s="1"/>
  <c r="F315" i="6"/>
  <c r="G315" i="6" s="1"/>
  <c r="F27" i="6"/>
  <c r="G27" i="6" s="1"/>
  <c r="A3" i="5" a="1"/>
  <c r="A3" i="5" s="1"/>
  <c r="B1" i="5" s="1" a="1"/>
  <c r="B1" i="5" s="1"/>
  <c r="F410" i="6"/>
  <c r="G410" i="6" s="1"/>
  <c r="F137" i="6"/>
  <c r="G137" i="6" s="1"/>
  <c r="F234" i="6"/>
  <c r="G234" i="6" s="1"/>
  <c r="F118" i="6"/>
  <c r="G118" i="6" s="1"/>
  <c r="F178" i="6"/>
  <c r="G178" i="6" s="1"/>
  <c r="F73" i="6"/>
  <c r="G73" i="6" s="1"/>
  <c r="F356" i="6"/>
  <c r="G356" i="6" s="1"/>
  <c r="F98" i="6"/>
  <c r="G98" i="6" s="1"/>
  <c r="F441" i="6"/>
  <c r="G441" i="6" s="1"/>
  <c r="F36" i="6"/>
  <c r="G36" i="6" s="1"/>
  <c r="F210" i="6"/>
  <c r="G210" i="6" s="1"/>
  <c r="F24" i="6"/>
  <c r="G24" i="6" s="1"/>
  <c r="F345" i="6"/>
  <c r="G345" i="6" s="1"/>
  <c r="F215" i="6"/>
  <c r="G215" i="6" s="1"/>
  <c r="F451" i="6"/>
  <c r="G451" i="6" s="1"/>
  <c r="F439" i="6"/>
  <c r="G439" i="6" s="1"/>
  <c r="F470" i="6"/>
  <c r="G470" i="6" s="1"/>
  <c r="F468" i="6"/>
  <c r="G468" i="6" s="1"/>
  <c r="F429" i="6"/>
  <c r="G429" i="6" s="1"/>
  <c r="F241" i="6"/>
  <c r="G241" i="6" s="1"/>
  <c r="F206" i="6"/>
  <c r="G206" i="6" s="1"/>
  <c r="F17" i="6"/>
  <c r="G17" i="6" s="1"/>
  <c r="F160" i="6"/>
  <c r="G160" i="6" s="1"/>
  <c r="F161" i="6"/>
  <c r="G161" i="6" s="1"/>
  <c r="F203" i="6"/>
  <c r="G203" i="6" s="1"/>
  <c r="F273" i="6"/>
  <c r="G273" i="6" s="1"/>
  <c r="F201" i="6"/>
  <c r="G201" i="6" s="1"/>
  <c r="F194" i="6"/>
  <c r="G194" i="6" s="1"/>
  <c r="F382" i="6"/>
  <c r="G382" i="6" s="1"/>
  <c r="F10" i="6"/>
  <c r="G10" i="6" s="1"/>
  <c r="F351" i="6"/>
  <c r="G351" i="6" s="1"/>
  <c r="F500" i="6"/>
  <c r="G500" i="6" s="1"/>
  <c r="F170" i="6"/>
  <c r="G170" i="6" s="1"/>
  <c r="F361" i="6"/>
  <c r="G361" i="6" s="1"/>
  <c r="F34" i="6"/>
  <c r="G34" i="6" s="1"/>
  <c r="F225" i="6"/>
  <c r="G225" i="6" s="1"/>
  <c r="F413" i="6"/>
  <c r="G413" i="6" s="1"/>
  <c r="F125" i="6"/>
  <c r="G125" i="6" s="1"/>
  <c r="F340" i="6"/>
  <c r="G340" i="6" s="1"/>
  <c r="F52" i="6"/>
  <c r="G52" i="6" s="1"/>
  <c r="I2" i="2" a="1"/>
  <c r="I2" i="2" s="1"/>
  <c r="C2" i="6"/>
  <c r="J2" i="2" l="1" a="1"/>
  <c r="J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<sst xmlns="http://schemas.openxmlformats.org/spreadsheetml/2006/main" count="56" uniqueCount="44">
  <si>
    <t>IRA Account Name and Number</t>
  </si>
  <si>
    <t>Investment Date</t>
  </si>
  <si>
    <t>Investment Amount</t>
  </si>
  <si>
    <t>Valuation Date</t>
  </si>
  <si>
    <t>Valuation Amount</t>
  </si>
  <si>
    <t>Fund</t>
  </si>
  <si>
    <t>Custodian</t>
  </si>
  <si>
    <t>c/o</t>
  </si>
  <si>
    <t>IRA Custodian</t>
  </si>
  <si>
    <t>C/O if Any</t>
  </si>
  <si>
    <t>Address</t>
  </si>
  <si>
    <t>City</t>
  </si>
  <si>
    <t>State</t>
  </si>
  <si>
    <t>Zip</t>
  </si>
  <si>
    <t>Email</t>
  </si>
  <si>
    <t>Website</t>
  </si>
  <si>
    <t>Contact Info Verification PDFs</t>
  </si>
  <si>
    <t>Street Name</t>
  </si>
  <si>
    <t>City, State, Zip</t>
  </si>
  <si>
    <t>Entity</t>
  </si>
  <si>
    <t>From Master Table</t>
  </si>
  <si>
    <t>Check</t>
  </si>
  <si>
    <t>Printed Signed Name</t>
  </si>
  <si>
    <t>Company Address</t>
  </si>
  <si>
    <t>Phone</t>
  </si>
  <si>
    <t>Fax</t>
  </si>
  <si>
    <t>Total PDFs To Be Generated:</t>
  </si>
  <si>
    <t>From Pull Data</t>
  </si>
  <si>
    <t>RUN PDF GENERATOR</t>
  </si>
  <si>
    <t>Save and Close This Workbook then run pdf_generator.exe</t>
  </si>
  <si>
    <t>Signature</t>
  </si>
  <si>
    <t>Save desired signature in this directory as "signature.png"</t>
  </si>
  <si>
    <t>Account Name and Number</t>
  </si>
  <si>
    <t>Account Legal Name</t>
  </si>
  <si>
    <t>&gt;&gt;&gt;</t>
  </si>
  <si>
    <t>Pulled From Master Table (For Comparison)</t>
  </si>
  <si>
    <t>Pulled From Raw Data (For Comparison)</t>
  </si>
  <si>
    <t>Pulled From  Master Table (For Comparison)</t>
  </si>
  <si>
    <t>Manual Original Names (Will Be Used for Mapping)</t>
  </si>
  <si>
    <t>Manually Enter Corresponding Account Names</t>
  </si>
  <si>
    <t>CURRENT ERRORS</t>
  </si>
  <si>
    <t>NAME MAPPING DISCREPANCIES</t>
  </si>
  <si>
    <t>Enter Custodian Name as Seen in Master Table</t>
  </si>
  <si>
    <t>Enter Matching Custodian Name as Seen in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</si>
</sst>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1" fillId="0" borderId="0" xfId="0" applyFont="1"/>
    <xf numFmtId="0" fontId="0" fillId="0" borderId="2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7" borderId="0" xfId="0" applyFont="1" applyFill="1" applyAlignment="1">
      <alignment horizontal="left"/>
    </xf>
    <xf numFmtId="0" fontId="4" fillId="7" borderId="0" xfId="0" applyFont="1" applyFill="1"/>
    <xf numFmtId="49" fontId="4" fillId="7" borderId="0" xfId="0" applyNumberFormat="1" applyFont="1" applyFill="1" applyAlignment="1">
      <alignment horizontal="right"/>
    </xf>
    <xf numFmtId="0" fontId="5" fillId="6" borderId="0" xfId="0" applyFont="1" applyFill="1"/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4" borderId="7" xfId="0" applyFill="1" applyBorder="1"/>
    <xf numFmtId="0" fontId="0" fillId="4" borderId="8" xfId="0" applyFill="1" applyBorder="1"/>
    <xf numFmtId="0" fontId="0" fillId="0" borderId="11" xfId="0" applyBorder="1"/>
    <xf numFmtId="0" fontId="5" fillId="6" borderId="0" xfId="0" applyFont="1" applyFill="1" applyAlignment="1">
      <alignment horizontal="right"/>
    </xf>
    <xf numFmtId="0" fontId="6" fillId="2" borderId="0" xfId="0" applyFont="1" applyFill="1" applyAlignment="1">
      <alignment vertical="top" wrapText="1"/>
    </xf>
    <xf numFmtId="0" fontId="6" fillId="4" borderId="6" xfId="0" applyFont="1" applyFill="1" applyBorder="1" applyAlignment="1">
      <alignment horizontal="center" vertical="top" wrapText="1"/>
    </xf>
    <xf numFmtId="0" fontId="6" fillId="4" borderId="7" xfId="0" applyFont="1" applyFill="1" applyBorder="1" applyAlignment="1">
      <alignment horizontal="center" vertical="top" wrapText="1"/>
    </xf>
    <xf numFmtId="0" fontId="6" fillId="4" borderId="7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left"/>
    </xf>
    <xf numFmtId="0" fontId="6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10" fillId="0" borderId="0" xfId="0" applyFont="1"/>
    <xf numFmtId="14" fontId="10" fillId="0" borderId="0" xfId="0" applyNumberFormat="1" applyFont="1"/>
    <xf numFmtId="0" fontId="6" fillId="4" borderId="8" xfId="0" applyFont="1" applyFill="1" applyBorder="1" applyAlignment="1">
      <alignment horizontal="center" vertical="top" wrapText="1"/>
    </xf>
    <xf numFmtId="0" fontId="0" fillId="0" borderId="11" xfId="0" applyBorder="1" applyAlignment="1">
      <alignment wrapText="1"/>
    </xf>
    <xf numFmtId="14" fontId="5" fillId="6" borderId="0" xfId="0" applyNumberFormat="1" applyFont="1" applyFill="1" applyAlignment="1">
      <alignment horizontal="right"/>
    </xf>
    <xf numFmtId="14" fontId="0" fillId="0" borderId="0" xfId="0" applyNumberFormat="1"/>
    <xf numFmtId="0" fontId="0" fillId="0" borderId="0" xfId="0"/>
    <xf numFmtId="0" fontId="3" fillId="0" borderId="0" xfId="1"/>
    <xf numFmtId="0" fontId="0" fillId="0" borderId="0" xfId="0" applyAlignment="1">
      <alignment horizontal="right"/>
    </xf>
    <xf numFmtId="0" fontId="10" fillId="0" borderId="0" xfId="0" applyFont="1"/>
    <xf numFmtId="0" fontId="0" fillId="9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Border="1"/>
  </cellXfs>
  <cellStyles count="2">
    <cellStyle name="Hyperlink 2" xfId="1" xr:uid="{37519F4D-DE2D-486D-ADC8-F408A48BAEFD}"/>
    <cellStyle name="Normal" xfId="0" builtinId="0"/>
  </cellStyles>
  <dxfs count="21">
    <dxf>
      <fill>
        <patternFill>
          <bgColor theme="2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9BF39F"/>
        </patternFill>
      </fill>
    </dxf>
    <dxf>
      <fill>
        <patternFill>
          <bgColor rgb="FFFFABAB"/>
        </patternFill>
      </fill>
    </dxf>
    <dxf>
      <fill>
        <patternFill>
          <bgColor rgb="FF9BF39F"/>
        </patternFill>
      </fill>
    </dxf>
    <dxf>
      <fill>
        <patternFill>
          <bgColor rgb="FFFFABA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ABAB"/>
        </patternFill>
      </fill>
    </dxf>
    <dxf>
      <fill>
        <patternFill>
          <bgColor theme="6" tint="0.39994506668294322"/>
        </patternFill>
      </fill>
    </dxf>
    <dxf>
      <fill>
        <patternFill>
          <bgColor rgb="FF9BF39F"/>
        </patternFill>
      </fill>
    </dxf>
    <dxf>
      <fill>
        <patternFill>
          <bgColor rgb="FFFFABAB"/>
        </patternFill>
      </fill>
    </dxf>
    <dxf>
      <numFmt numFmtId="19" formatCode="m/d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</dxf>
    <dxf>
      <alignment horizontal="right" vertical="bottom" textRotation="0" wrapText="0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/>
          <bgColor theme="8" tint="0.39997558519241921"/>
        </patternFill>
      </fill>
    </dxf>
  </dxfs>
  <tableStyles count="1" defaultTableStyle="TableStyleMedium9" defaultPivotStyle="PivotStyleLight16">
    <tableStyle name="Invisible" pivot="0" table="0" count="0" xr9:uid="{4D5D8CDD-76A7-4265-9C0A-F9D3ED7266A7}"/>
  </tableStyles>
  <colors>
    <mruColors>
      <color rgb="FFFF9B9B"/>
      <color rgb="FFFFABAB"/>
      <color rgb="FFFF6D6D"/>
      <color rgb="FFFABF8F"/>
      <color rgb="FF9BF39F"/>
      <color rgb="FF9CEE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63783-8943-4C7B-91E8-1104E694F216}" name="MasterTable" displayName="MasterTable" ref="A4:I38" totalsRowShown="0" headerRowDxfId="20" tableBorderDxfId="19">
  <autoFilter ref="A4:I38" xr:uid="{22563783-8943-4C7B-91E8-1104E694F216}"/>
  <sortState xmlns:xlrd2="http://schemas.microsoft.com/office/spreadsheetml/2017/richdata2" ref="A5:I38">
    <sortCondition ref="A4:A38"/>
  </sortState>
  <tableColumns count="9">
    <tableColumn id="1" xr3:uid="{6423F8EE-D9BD-41ED-8B2B-9057A6EDE81C}" name="IRA Custodian" dataCellStyle="Normal"/>
    <tableColumn id="2" xr3:uid="{7C6A2271-833A-486B-BA0D-576E3632796F}" name="C/O if Any" dataCellStyle="Normal"/>
    <tableColumn id="3" xr3:uid="{6D49AD04-4DE1-4AE0-A853-F418FA1481E2}" name="Address" dataCellStyle="Normal"/>
    <tableColumn id="4" xr3:uid="{FAD378FB-8C6E-4D34-9E39-8D9884CD54FE}" name="City" dataCellStyle="Normal"/>
    <tableColumn id="5" xr3:uid="{D632919B-C323-4C49-B938-7FB6D2C892F4}" name="State" dataCellStyle="Normal"/>
    <tableColumn id="6" xr3:uid="{5F087806-AB1E-4031-9D6A-6D9CA404650E}" name="Zip" dataDxfId="18" dataCellStyle="Normal"/>
    <tableColumn id="7" xr3:uid="{743F5A95-BD75-48CD-9174-C9E04533A9DB}" name="Email"/>
    <tableColumn id="8" xr3:uid="{D0913E35-0CF8-4ECF-9D75-7585F92C8CF0}" name="Website" dataCellStyle="Hyperlink 2"/>
    <tableColumn id="9" xr3:uid="{05411434-9102-4957-BCD3-1CCA25C2B173}" name="Contact Info Verification PDFs" dataCellStyle="Hyperlink 2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1F06FA-3C96-4E82-B6E9-C8616A047FC2}" name="RawDataTable" displayName="RawDataTable" ref="A1:G1999" totalsRowShown="0" headerRowDxfId="17" headerRowCellStyle="Normal" dataCellStyle="Normal">
  <autoFilter ref="A1:G1999" xr:uid="{0B1F06FA-3C96-4E82-B6E9-C8616A047F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AE0A810-2AAA-447E-BBC6-3DD7B9EE0206}" name="Entity" dataCellStyle="Normal"/>
    <tableColumn id="2" xr3:uid="{60ED9F65-89EF-4059-B6B4-7C20EF7317D1}" name="Account Legal Name" dataCellStyle="Normal"/>
    <tableColumn id="3" xr3:uid="{DB1776E0-DE9D-4973-8A87-3CCC5D86D615}" name="Custodian" dataCellStyle="Normal"/>
    <tableColumn id="4" xr3:uid="{3A1F0026-13A1-49EA-8318-38549224FD07}" name="Account Name and Number" dataCellStyle="Normal"/>
    <tableColumn id="5" xr3:uid="{1824AA04-B8D5-4DDF-968F-8BC526973B8F}" name="Investment Date" dataDxfId="16" dataCellStyle="Normal"/>
    <tableColumn id="6" xr3:uid="{10D439EA-3B77-4992-9647-153732D5685E}" name="Investment Amount" dataCellStyle="Normal"/>
    <tableColumn id="8" xr3:uid="{4F4C1BB2-AEDE-44E1-B279-3CA68322B885}" name="Valuation Amount" dataCellStyle="Normal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3854-5EE2-42F2-BD39-188306C30035}">
  <sheetPr codeName="Sheet1">
    <tabColor theme="3" tint="0.79998168889431442"/>
  </sheetPr>
  <dimension ref="A1:J38"/>
  <sheetViews>
    <sheetView tabSelected="1" workbookViewId="0">
      <selection activeCell="A5" sqref="A5:I38"/>
    </sheetView>
  </sheetViews>
  <sheetFormatPr defaultRowHeight="15" x14ac:dyDescent="0.25"/>
  <cols>
    <col min="1" max="1" width="30" bestFit="1" customWidth="1"/>
    <col min="2" max="2" width="44.140625" bestFit="1" customWidth="1"/>
    <col min="3" max="3" width="45.85546875" bestFit="1" customWidth="1"/>
    <col min="4" max="4" width="18" bestFit="1" customWidth="1"/>
    <col min="5" max="5" width="12.42578125" bestFit="1" customWidth="1"/>
    <col min="6" max="6" width="25.140625" bestFit="1" customWidth="1"/>
    <col min="7" max="7" width="53.28515625" bestFit="1" customWidth="1"/>
    <col min="8" max="8" width="62.140625" bestFit="1" customWidth="1"/>
    <col min="9" max="9" width="31.5703125" bestFit="1" customWidth="1"/>
    <col min="10" max="10" width="39.7109375" bestFit="1" customWidth="1"/>
  </cols>
  <sheetData>
    <row r="1" spans="1:10" ht="33" customHeight="1" thickBot="1" x14ac:dyDescent="0.3">
      <c r="A1" s="18" t="s">
        <v>22</v>
      </c>
      <c r="B1" s="19" t="str">
        <f>_xlfn.CONCAT(A2,"'s Title")</f>
        <v>'s Title</v>
      </c>
      <c r="C1" s="20" t="s">
        <v>23</v>
      </c>
      <c r="D1" s="20" t="s">
        <v>24</v>
      </c>
      <c r="E1" s="20" t="s">
        <v>25</v>
      </c>
      <c r="F1" s="21" t="s">
        <v>14</v>
      </c>
      <c r="G1" s="22" t="s">
        <v>30</v>
      </c>
      <c r="H1" s="22" t="s">
        <v>28</v>
      </c>
      <c r="I1" s="49" t="s">
        <v>40</v>
      </c>
      <c r="J1" s="49" t="s">
        <v>41</v>
      </c>
    </row>
    <row r="2" spans="1:10" ht="21" customHeight="1" thickBot="1" x14ac:dyDescent="0.3">
      <c r="A2" s="7"/>
      <c r="B2" s="8"/>
      <c r="C2" s="8"/>
      <c r="D2" s="8"/>
      <c r="E2" s="8"/>
      <c r="F2" s="9"/>
      <c r="G2" s="24" t="s">
        <v>31</v>
      </c>
      <c r="H2" s="23" t="s">
        <v>29</v>
      </c>
      <c r="I2" s="48" cm="1">
        <f t="array" aca="1" ref="I2" ca="1">SUM(
    COUNTIF('Pull Data'!A:Z, {"NAME MAPPING ERROR","RAW DATA ERROR","INVALID VALUE","NO STREET NAME","INCOMPLETE ADDRESS","Check Data: c/o Does Not Appear in Data","Check Data: Custodian Does Not Appear in Data"}),
)</f>
        <v>0</v>
      </c>
      <c r="J2" s="48" cm="1">
        <f t="array" ref="J2">SUM(COUNTIF('Data Checks'!A:Z, {"c/o Does Not Appear in Data","Custodian Does Not Appear in Data"}))</f>
        <v>1</v>
      </c>
    </row>
    <row r="4" spans="1:10" x14ac:dyDescent="0.25">
      <c r="A4" s="10" t="s">
        <v>8</v>
      </c>
      <c r="B4" s="10" t="s">
        <v>9</v>
      </c>
      <c r="C4" s="11" t="s">
        <v>10</v>
      </c>
      <c r="D4" s="11" t="s">
        <v>11</v>
      </c>
      <c r="E4" s="11" t="s">
        <v>12</v>
      </c>
      <c r="F4" s="12" t="s">
        <v>13</v>
      </c>
      <c r="G4" s="13" t="s">
        <v>14</v>
      </c>
      <c r="H4" s="11" t="s">
        <v>15</v>
      </c>
      <c r="I4" s="11" t="s">
        <v>16</v>
      </c>
    </row>
    <row r="5" spans="1:10" x14ac:dyDescent="0.25">
      <c r="A5" s="56"/>
      <c r="B5" s="56"/>
      <c r="C5" s="56"/>
      <c r="D5" s="56"/>
      <c r="E5" s="56"/>
      <c r="F5" s="58"/>
      <c r="G5" s="60"/>
      <c r="H5" s="57"/>
      <c r="I5" s="57"/>
    </row>
    <row r="6" spans="1:10" x14ac:dyDescent="0.25">
      <c r="A6" s="56"/>
      <c r="B6" s="56"/>
      <c r="C6" s="56"/>
      <c r="D6" s="56"/>
      <c r="E6" s="56"/>
      <c r="F6" s="58"/>
      <c r="G6" s="61"/>
      <c r="H6" s="57"/>
      <c r="I6" s="57"/>
    </row>
    <row r="7" spans="1:10" x14ac:dyDescent="0.25">
      <c r="A7" s="56"/>
      <c r="B7" s="56"/>
      <c r="C7" s="56"/>
      <c r="D7" s="56"/>
      <c r="E7" s="56"/>
      <c r="F7" s="58"/>
      <c r="G7" s="60"/>
      <c r="H7" s="57"/>
      <c r="I7" s="57"/>
    </row>
    <row r="8" spans="1:10" x14ac:dyDescent="0.25">
      <c r="A8" s="56"/>
      <c r="B8" s="56"/>
      <c r="C8" s="56"/>
      <c r="D8" s="56"/>
      <c r="E8" s="56"/>
      <c r="F8" s="58"/>
      <c r="G8" s="62"/>
      <c r="H8" s="57"/>
      <c r="I8" s="57"/>
    </row>
    <row r="9" spans="1:10" x14ac:dyDescent="0.25">
      <c r="A9" s="56"/>
      <c r="B9" s="56"/>
      <c r="C9" s="56"/>
      <c r="D9" s="56"/>
      <c r="E9" s="56"/>
      <c r="F9" s="58"/>
      <c r="G9" s="60"/>
      <c r="H9" s="57"/>
      <c r="I9" s="57"/>
    </row>
    <row r="10" spans="1:10" x14ac:dyDescent="0.25">
      <c r="A10" s="56"/>
      <c r="B10" s="56"/>
      <c r="C10" s="56"/>
      <c r="D10" s="56"/>
      <c r="E10" s="56"/>
      <c r="F10" s="58"/>
      <c r="G10" s="61"/>
      <c r="H10" s="57"/>
      <c r="I10" s="57"/>
    </row>
    <row r="11" spans="1:10" x14ac:dyDescent="0.25">
      <c r="A11" s="56"/>
      <c r="B11" s="56"/>
      <c r="C11" s="56"/>
      <c r="D11" s="56"/>
      <c r="E11" s="56"/>
      <c r="F11" s="58"/>
      <c r="G11" s="60"/>
      <c r="H11" s="57"/>
      <c r="I11" s="57"/>
    </row>
    <row r="12" spans="1:10" x14ac:dyDescent="0.25">
      <c r="A12" s="56"/>
      <c r="B12" s="56"/>
      <c r="C12" s="56"/>
      <c r="D12" s="56"/>
      <c r="E12" s="56"/>
      <c r="F12" s="58"/>
      <c r="G12" s="61"/>
      <c r="H12" s="57"/>
      <c r="I12" s="57"/>
    </row>
    <row r="13" spans="1:10" x14ac:dyDescent="0.25">
      <c r="A13" s="56"/>
      <c r="B13" s="56"/>
      <c r="C13" s="56"/>
      <c r="D13" s="56"/>
      <c r="E13" s="56"/>
      <c r="F13" s="58"/>
      <c r="G13" s="57"/>
      <c r="H13" s="57"/>
      <c r="I13" s="57"/>
    </row>
    <row r="14" spans="1:10" x14ac:dyDescent="0.25">
      <c r="A14" s="56"/>
      <c r="B14" s="56"/>
      <c r="C14" s="56"/>
      <c r="D14" s="56"/>
      <c r="E14" s="56"/>
      <c r="F14" s="58"/>
      <c r="G14" s="61"/>
      <c r="H14" s="57"/>
      <c r="I14" s="57"/>
    </row>
    <row r="15" spans="1:10" x14ac:dyDescent="0.25">
      <c r="A15" s="56"/>
      <c r="B15" s="56"/>
      <c r="C15" s="56"/>
      <c r="D15" s="56"/>
      <c r="E15" s="56"/>
      <c r="F15" s="58"/>
      <c r="G15" s="57"/>
      <c r="H15" s="57"/>
      <c r="I15" s="57"/>
    </row>
    <row r="16" spans="1:10" x14ac:dyDescent="0.25">
      <c r="A16" s="56"/>
      <c r="B16" s="56"/>
      <c r="C16" s="56"/>
      <c r="D16" s="56"/>
      <c r="E16" s="56"/>
      <c r="F16" s="58"/>
      <c r="G16" s="57"/>
      <c r="H16" s="57"/>
      <c r="I16" s="57"/>
    </row>
    <row r="17" spans="1:9" x14ac:dyDescent="0.25">
      <c r="A17" s="56"/>
      <c r="B17" s="56"/>
      <c r="C17" s="56"/>
      <c r="D17" s="56"/>
      <c r="E17" s="56"/>
      <c r="F17" s="58"/>
      <c r="G17" s="57"/>
      <c r="H17" s="57"/>
      <c r="I17" s="57"/>
    </row>
    <row r="18" spans="1:9" x14ac:dyDescent="0.25">
      <c r="A18" s="56"/>
      <c r="B18" s="56"/>
      <c r="C18" s="56"/>
      <c r="D18" s="56"/>
      <c r="E18" s="56"/>
      <c r="F18" s="58"/>
      <c r="G18" s="57"/>
      <c r="H18" s="57"/>
      <c r="I18" s="57"/>
    </row>
    <row r="19" spans="1:9" x14ac:dyDescent="0.25">
      <c r="A19" s="56"/>
      <c r="B19" s="56"/>
      <c r="C19" s="56"/>
      <c r="D19" s="56"/>
      <c r="E19" s="56"/>
      <c r="F19" s="58"/>
      <c r="G19" s="57"/>
      <c r="H19" s="57"/>
      <c r="I19" s="57"/>
    </row>
    <row r="20" spans="1:9" x14ac:dyDescent="0.25">
      <c r="A20" s="56"/>
      <c r="B20" s="56"/>
      <c r="C20" s="56"/>
      <c r="D20" s="56"/>
      <c r="E20" s="56"/>
      <c r="F20" s="58"/>
      <c r="G20" s="57"/>
      <c r="H20" s="57"/>
      <c r="I20" s="57"/>
    </row>
    <row r="21" spans="1:9" x14ac:dyDescent="0.25">
      <c r="A21" s="56"/>
      <c r="B21" s="56"/>
      <c r="C21" s="56"/>
      <c r="D21" s="56"/>
      <c r="E21" s="56"/>
      <c r="F21" s="58"/>
      <c r="G21" s="56"/>
      <c r="H21" s="57"/>
      <c r="I21" s="57"/>
    </row>
    <row r="22" spans="1:9" x14ac:dyDescent="0.25">
      <c r="A22" s="56"/>
      <c r="B22" s="56"/>
      <c r="C22" s="56"/>
      <c r="D22" s="56"/>
      <c r="E22" s="56"/>
      <c r="F22" s="58"/>
      <c r="G22" s="56"/>
      <c r="H22" s="57"/>
      <c r="I22" s="57"/>
    </row>
    <row r="23" spans="1:9" x14ac:dyDescent="0.25">
      <c r="A23" s="56"/>
      <c r="B23" s="56"/>
      <c r="C23" s="56"/>
      <c r="D23" s="56"/>
      <c r="E23" s="56"/>
      <c r="F23" s="58"/>
      <c r="G23" s="56"/>
      <c r="H23" s="57"/>
      <c r="I23" s="57"/>
    </row>
    <row r="24" spans="1:9" x14ac:dyDescent="0.25">
      <c r="A24" s="56"/>
      <c r="B24" s="56"/>
      <c r="C24" s="56"/>
      <c r="D24" s="56"/>
      <c r="E24" s="56"/>
      <c r="F24" s="58"/>
      <c r="G24" s="56"/>
      <c r="H24" s="57"/>
      <c r="I24" s="57"/>
    </row>
    <row r="25" spans="1:9" x14ac:dyDescent="0.25">
      <c r="A25" s="56"/>
      <c r="B25" s="56"/>
      <c r="C25" s="56"/>
      <c r="D25" s="56"/>
      <c r="E25" s="56"/>
      <c r="F25" s="58"/>
      <c r="G25" s="56"/>
      <c r="H25" s="57"/>
      <c r="I25" s="57"/>
    </row>
    <row r="26" spans="1:9" x14ac:dyDescent="0.25">
      <c r="A26" s="56"/>
      <c r="B26" s="56"/>
      <c r="C26" s="56"/>
      <c r="D26" s="56"/>
      <c r="E26" s="56"/>
      <c r="F26" s="58"/>
      <c r="G26" s="56"/>
      <c r="H26" s="57"/>
      <c r="I26" s="57"/>
    </row>
    <row r="27" spans="1:9" x14ac:dyDescent="0.25">
      <c r="A27" s="56"/>
      <c r="B27" s="56"/>
      <c r="C27" s="56"/>
      <c r="D27" s="56"/>
      <c r="E27" s="56"/>
      <c r="F27" s="58"/>
      <c r="G27" s="56"/>
      <c r="H27" s="57"/>
      <c r="I27" s="57"/>
    </row>
    <row r="28" spans="1:9" x14ac:dyDescent="0.25">
      <c r="A28" s="56"/>
      <c r="B28" s="56"/>
      <c r="C28" s="56"/>
      <c r="D28" s="56"/>
      <c r="E28" s="56"/>
      <c r="F28" s="58"/>
      <c r="G28" s="56"/>
      <c r="H28" s="57"/>
      <c r="I28" s="57"/>
    </row>
    <row r="29" spans="1:9" x14ac:dyDescent="0.25">
      <c r="A29" s="56"/>
      <c r="B29" s="56"/>
      <c r="C29" s="56"/>
      <c r="D29" s="56"/>
      <c r="E29" s="56"/>
      <c r="F29" s="58"/>
      <c r="G29" s="57"/>
      <c r="H29" s="57"/>
      <c r="I29" s="57"/>
    </row>
    <row r="30" spans="1:9" x14ac:dyDescent="0.25">
      <c r="A30" s="56"/>
      <c r="B30" s="56"/>
      <c r="C30" s="56"/>
      <c r="D30" s="56"/>
      <c r="E30" s="56"/>
      <c r="F30" s="58"/>
      <c r="G30" s="57"/>
      <c r="H30" s="57"/>
      <c r="I30" s="57"/>
    </row>
    <row r="31" spans="1:9" x14ac:dyDescent="0.25">
      <c r="A31" s="56"/>
      <c r="B31" s="56"/>
      <c r="C31" s="56"/>
      <c r="D31" s="56"/>
      <c r="E31" s="56"/>
      <c r="F31" s="58"/>
      <c r="G31" s="56"/>
      <c r="H31" s="57"/>
      <c r="I31" s="57"/>
    </row>
    <row r="32" spans="1:9" x14ac:dyDescent="0.25">
      <c r="A32" s="56"/>
      <c r="B32" s="56"/>
      <c r="C32" s="56"/>
      <c r="D32" s="56"/>
      <c r="E32" s="56"/>
      <c r="F32" s="58"/>
      <c r="G32" s="56"/>
      <c r="H32" s="57"/>
      <c r="I32" s="57"/>
    </row>
    <row r="33" spans="1:9" x14ac:dyDescent="0.25">
      <c r="A33" s="56"/>
      <c r="B33" s="56"/>
      <c r="C33" s="56"/>
      <c r="D33" s="56"/>
      <c r="E33" s="56"/>
      <c r="F33" s="58"/>
      <c r="G33" s="56"/>
      <c r="H33" s="57"/>
      <c r="I33" s="57"/>
    </row>
    <row r="34" spans="1:9" x14ac:dyDescent="0.25">
      <c r="A34" s="56"/>
      <c r="B34" s="56"/>
      <c r="C34" s="56"/>
      <c r="D34" s="56"/>
      <c r="E34" s="56"/>
      <c r="F34" s="58"/>
      <c r="G34" s="56"/>
      <c r="H34" s="57"/>
      <c r="I34" s="57"/>
    </row>
    <row r="35" spans="1:9" x14ac:dyDescent="0.25">
      <c r="A35" s="56"/>
      <c r="B35" s="56"/>
      <c r="C35" s="56"/>
      <c r="D35" s="56"/>
      <c r="E35" s="56"/>
      <c r="F35" s="58"/>
      <c r="G35" s="56"/>
      <c r="H35" s="57"/>
      <c r="I35" s="57"/>
    </row>
    <row r="36" spans="1:9" x14ac:dyDescent="0.25">
      <c r="A36" s="56"/>
      <c r="B36" s="56"/>
      <c r="C36" s="56"/>
      <c r="D36" s="56"/>
      <c r="E36" s="56"/>
      <c r="F36" s="58"/>
      <c r="G36" s="57"/>
      <c r="H36" s="57"/>
      <c r="I36" s="57"/>
    </row>
    <row r="37" spans="1:9" x14ac:dyDescent="0.25">
      <c r="A37" s="56"/>
      <c r="B37" s="56"/>
      <c r="C37" s="56"/>
      <c r="D37" s="56"/>
      <c r="E37" s="56"/>
      <c r="F37" s="58"/>
      <c r="G37" s="56"/>
      <c r="H37" s="57"/>
      <c r="I37" s="57"/>
    </row>
    <row r="38" spans="1:9" x14ac:dyDescent="0.25">
      <c r="A38" s="56"/>
      <c r="B38" s="56"/>
      <c r="C38" s="56"/>
      <c r="D38" s="56"/>
      <c r="E38" s="56"/>
      <c r="F38" s="58"/>
      <c r="G38" s="57"/>
      <c r="H38" s="57"/>
      <c r="I38" s="57"/>
    </row>
  </sheetData>
  <conditionalFormatting sqref="C39:C62">
    <cfRule type="containsText" dxfId="15" priority="3" operator="containsText" text="Check">
      <formula>NOT(ISERROR(SEARCH("Check",C39)))</formula>
    </cfRule>
    <cfRule type="containsText" dxfId="14" priority="4" operator="containsText" text="Appear">
      <formula>NOT(ISERROR(SEARCH("Appear",C39)))</formula>
    </cfRule>
  </conditionalFormatting>
  <conditionalFormatting sqref="I2:J2">
    <cfRule type="cellIs" dxfId="13" priority="1" operator="equal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03B8-303A-4B19-B001-EE710681DB30}">
  <sheetPr codeName="Sheet2">
    <tabColor theme="9" tint="0.59999389629810485"/>
  </sheetPr>
  <dimension ref="A1:AG20"/>
  <sheetViews>
    <sheetView topLeftCell="C1" zoomScale="86" workbookViewId="0">
      <selection activeCell="I5" sqref="I5:L5"/>
    </sheetView>
  </sheetViews>
  <sheetFormatPr defaultRowHeight="15" x14ac:dyDescent="0.25"/>
  <cols>
    <col min="1" max="1" width="30" style="6" bestFit="1" customWidth="1"/>
    <col min="2" max="2" width="30.5703125" style="32" bestFit="1" customWidth="1"/>
    <col min="3" max="3" width="30" bestFit="1" customWidth="1"/>
    <col min="4" max="4" width="30.5703125" style="32" bestFit="1" customWidth="1"/>
    <col min="5" max="5" width="9.140625" style="3"/>
    <col min="6" max="6" width="44.140625" style="6" bestFit="1" customWidth="1"/>
    <col min="7" max="7" width="28.5703125" style="53" customWidth="1"/>
    <col min="8" max="8" width="55" style="63" bestFit="1" customWidth="1"/>
    <col min="9" max="9" width="36.5703125" bestFit="1" customWidth="1"/>
    <col min="10" max="10" width="27" bestFit="1" customWidth="1"/>
    <col min="11" max="11" width="25.140625" bestFit="1" customWidth="1"/>
    <col min="12" max="12" width="20.85546875" bestFit="1" customWidth="1"/>
    <col min="13" max="13" width="24.42578125" bestFit="1" customWidth="1"/>
  </cols>
  <sheetData>
    <row r="1" spans="1:33" ht="57" thickBot="1" x14ac:dyDescent="0.3">
      <c r="A1" s="35" t="s">
        <v>37</v>
      </c>
      <c r="B1" s="52" t="s">
        <v>36</v>
      </c>
      <c r="C1" s="36" t="s">
        <v>42</v>
      </c>
      <c r="D1" s="52" t="s">
        <v>43</v>
      </c>
      <c r="E1" s="34"/>
      <c r="F1" s="35" t="s">
        <v>35</v>
      </c>
      <c r="G1" s="52" t="s">
        <v>36</v>
      </c>
      <c r="H1" s="36" t="s">
        <v>38</v>
      </c>
      <c r="I1" s="36" t="s">
        <v>39</v>
      </c>
      <c r="J1" s="37" t="s">
        <v>34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1"/>
    </row>
    <row r="2" spans="1:33" x14ac:dyDescent="0.25">
      <c r="A2" s="6" cm="1">
        <f t="array" ref="A2">_xlfn._xlws.SORT(_xlfn.UNIQUE(MasterTable[IRA Custodian]))</f>
        <v>0</v>
      </c>
      <c r="B2" s="32" t="e" cm="1" vm="1">
        <f t="array" ref="B2">_xlfn._xlws.SORT(_xlfn._xlws.FILTER(_xlfn.UNIQUE('Raw Data'!C2:C999), ISBLANK(_xlfn.UNIQUE('Raw Data'!C2:C999))=FALSE))</f>
        <v>#VALUE!</v>
      </c>
      <c r="F2" s="6" t="e" cm="1" vm="1">
        <f t="array" ref="F2">_xlfn._xlws.FILTER(_xlfn.UNIQUE(MasterTable[C/O if Any]), _xlfn.UNIQUE(MasterTable[C/O if Any])&lt;&gt;"")</f>
        <v>#VALUE!</v>
      </c>
      <c r="G2" s="53" t="e" cm="1" vm="2">
        <f t="array" ref="G2">_xlfn.MAP(_xlfn.ANCHORARRAY(F2),
_xlfn.LAMBDA(_xlpm.item,
_xlfn.TEXTJOIN(CHAR(10),TRUE,
_xlfn._xlws.FILTER('Raw Data'!D1:D999,
(
('Raw Data'!B1:B999=SUBSTITUTE(_xlpm.item,"c/o ",""))+
('Raw Data'!C1:C999=SUBSTITUTE(_xlpm.item,"fka ",""))+
('Raw Data'!C1:C999=SUBSTITUTE(_xlpm.item,"Attn: Asset Operations/ ",""))
)&gt;0,
"No Matches"
)
)
))</f>
        <v>#VALUE!</v>
      </c>
    </row>
    <row r="5" spans="1:33" ht="75" x14ac:dyDescent="0.25">
      <c r="H5" s="56"/>
      <c r="L5" s="56"/>
    </row>
    <row r="10" spans="1:33" x14ac:dyDescent="0.25">
      <c r="H10" s="59"/>
    </row>
    <row r="17" spans="3:3" x14ac:dyDescent="0.25">
      <c r="C17" s="6"/>
    </row>
    <row r="20" spans="3:3" x14ac:dyDescent="0.25">
      <c r="C20" s="64"/>
    </row>
  </sheetData>
  <conditionalFormatting sqref="G1:G1048576">
    <cfRule type="containsText" dxfId="11" priority="2" operator="containsText" text="No Matches">
      <formula>NOT(ISERROR(SEARCH("No Matches",G1)))</formula>
    </cfRule>
  </conditionalFormatting>
  <conditionalFormatting sqref="H5">
    <cfRule type="containsText" dxfId="10" priority="1" operator="containsText" text="No Matches">
      <formula>NOT(ISERROR(SEARCH("No Matches",H5)))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B8E7-FFB1-4C45-A0CE-6BEC9F510C7C}">
  <sheetPr codeName="Sheet3">
    <tabColor theme="6" tint="0.59999389629810485"/>
  </sheetPr>
  <dimension ref="A1:G500"/>
  <sheetViews>
    <sheetView workbookViewId="0">
      <selection activeCell="F12" sqref="F12"/>
    </sheetView>
  </sheetViews>
  <sheetFormatPr defaultRowHeight="15" x14ac:dyDescent="0.25"/>
  <cols>
    <col min="1" max="2" width="30" bestFit="1" customWidth="1"/>
    <col min="3" max="3" width="43.7109375" bestFit="1" customWidth="1"/>
    <col min="4" max="4" width="9.140625" style="3"/>
    <col min="5" max="6" width="44.140625" bestFit="1" customWidth="1"/>
    <col min="7" max="7" width="43.7109375" bestFit="1" customWidth="1"/>
  </cols>
  <sheetData>
    <row r="1" spans="1:7" ht="33" customHeight="1" thickBot="1" x14ac:dyDescent="0.3">
      <c r="A1" s="14" t="s">
        <v>20</v>
      </c>
      <c r="B1" s="15" t="s">
        <v>27</v>
      </c>
      <c r="C1" s="16" t="s">
        <v>21</v>
      </c>
      <c r="D1" s="17"/>
      <c r="E1" s="14" t="s">
        <v>20</v>
      </c>
      <c r="F1" s="15" t="s">
        <v>27</v>
      </c>
      <c r="G1" s="16" t="s">
        <v>21</v>
      </c>
    </row>
    <row r="2" spans="1:7" x14ac:dyDescent="0.25">
      <c r="A2" s="5" cm="1">
        <f t="array" ref="A2">_xlfn._xlws.SORT(_xlfn.UNIQUE(MasterTable[IRA Custodian]))</f>
        <v>0</v>
      </c>
      <c r="B2" t="str">
        <f>IF(COUNTIF('Pull Data'!B$2:B$1000, A2) &gt; 0, A2, "")</f>
        <v/>
      </c>
      <c r="C2" t="str">
        <f>IF(AND(A2="", B2=""), "", IF(A2&lt;&gt;B2, "Custodian Does Not Appear in Data", "Custodian Appears in Data"))</f>
        <v>Custodian Does Not Appear in Data</v>
      </c>
      <c r="E2" t="e" cm="1" vm="1">
        <f t="array" ref="E2">_xlfn._xlws.SORT(_xlfn._xlws.FILTER(_xlfn.UNIQUE(MasterTable[C/O if Any]), _xlfn.UNIQUE(MasterTable[C/O if Any])&lt;&gt;""))</f>
        <v>#VALUE!</v>
      </c>
      <c r="F2" t="str">
        <f>IF(COUNTIF('Pull Data'!C$2:C$1000, E2) &gt; 0, E2, "")</f>
        <v/>
      </c>
      <c r="G2" t="e" vm="2">
        <f>IF(AND(E2="", F2=""), "", IF(E2&lt;&gt;F2, "c/o Does Not Appear in Data", "c/o Appears in Data"))</f>
        <v>#VALUE!</v>
      </c>
    </row>
    <row r="3" spans="1:7" x14ac:dyDescent="0.25">
      <c r="A3" s="6"/>
      <c r="B3" t="str">
        <f>IF(COUNTIF('Pull Data'!B$2:B$1000, A3) &gt; 0, A3, "")</f>
        <v/>
      </c>
      <c r="C3" t="str">
        <f t="shared" ref="C3:C66" si="0">IF(AND(A3="", B3=""), "", IF(A3&lt;&gt;B3, "Custodian Does Not Appear in Data", "Custodian Appears in Data"))</f>
        <v/>
      </c>
      <c r="F3" t="str">
        <f>IF(COUNTIF('Pull Data'!C$2:C$1000, E3) &gt; 0, E3, "")</f>
        <v/>
      </c>
      <c r="G3" t="str">
        <f t="shared" ref="G3:G66" si="1">IF(AND(E3="", F3=""), "", IF(E3&lt;&gt;F3, "c/o Does Not Appear in Data", "c/o Appears in Data"))</f>
        <v/>
      </c>
    </row>
    <row r="4" spans="1:7" x14ac:dyDescent="0.25">
      <c r="A4" s="6"/>
      <c r="B4" t="str">
        <f>IF(COUNTIF('Pull Data'!B$2:B$1000, A4) &gt; 0, A4, "")</f>
        <v/>
      </c>
      <c r="C4" t="str">
        <f t="shared" si="0"/>
        <v/>
      </c>
      <c r="F4" t="str">
        <f>IF(COUNTIF('Pull Data'!C$2:C$1000, E4) &gt; 0, E4, "")</f>
        <v/>
      </c>
      <c r="G4" t="str">
        <f t="shared" si="1"/>
        <v/>
      </c>
    </row>
    <row r="5" spans="1:7" x14ac:dyDescent="0.25">
      <c r="A5" s="6"/>
      <c r="B5" t="str">
        <f>IF(COUNTIF('Pull Data'!B$2:B$1000, A5) &gt; 0, A5, "")</f>
        <v/>
      </c>
      <c r="C5" t="str">
        <f t="shared" si="0"/>
        <v/>
      </c>
      <c r="F5" t="str">
        <f>IF(COUNTIF('Pull Data'!C$2:C$1000, E5) &gt; 0, E5, "")</f>
        <v/>
      </c>
      <c r="G5" t="str">
        <f t="shared" si="1"/>
        <v/>
      </c>
    </row>
    <row r="6" spans="1:7" x14ac:dyDescent="0.25">
      <c r="A6" s="6"/>
      <c r="B6" t="str">
        <f>IF(COUNTIF('Pull Data'!B$2:B$1000, A6) &gt; 0, A6, "")</f>
        <v/>
      </c>
      <c r="C6" t="str">
        <f t="shared" si="0"/>
        <v/>
      </c>
      <c r="F6" t="str">
        <f>IF(COUNTIF('Pull Data'!C$2:C$1000, E6) &gt; 0, E6, "")</f>
        <v/>
      </c>
      <c r="G6" t="str">
        <f t="shared" si="1"/>
        <v/>
      </c>
    </row>
    <row r="7" spans="1:7" x14ac:dyDescent="0.25">
      <c r="A7" s="6"/>
      <c r="B7" t="str">
        <f>IF(COUNTIF('Pull Data'!B$2:B$1000, A7) &gt; 0, A7, "")</f>
        <v/>
      </c>
      <c r="C7" t="str">
        <f t="shared" si="0"/>
        <v/>
      </c>
      <c r="F7" t="str">
        <f>IF(COUNTIF('Pull Data'!C$2:C$1000, E7) &gt; 0, E7, "")</f>
        <v/>
      </c>
      <c r="G7" t="str">
        <f t="shared" si="1"/>
        <v/>
      </c>
    </row>
    <row r="8" spans="1:7" x14ac:dyDescent="0.25">
      <c r="A8" s="6"/>
      <c r="B8" t="str">
        <f>IF(COUNTIF('Pull Data'!B$2:B$1000, A8) &gt; 0, A8, "")</f>
        <v/>
      </c>
      <c r="C8" t="str">
        <f t="shared" si="0"/>
        <v/>
      </c>
      <c r="F8" t="str">
        <f>IF(COUNTIF('Pull Data'!C$2:C$1000, E8) &gt; 0, E8, "")</f>
        <v/>
      </c>
      <c r="G8" t="str">
        <f t="shared" si="1"/>
        <v/>
      </c>
    </row>
    <row r="9" spans="1:7" x14ac:dyDescent="0.25">
      <c r="A9" s="6"/>
      <c r="B9" t="str">
        <f>IF(COUNTIF('Pull Data'!B$2:B$1000, A9) &gt; 0, A9, "")</f>
        <v/>
      </c>
      <c r="C9" t="str">
        <f t="shared" si="0"/>
        <v/>
      </c>
      <c r="F9" t="str">
        <f>IF(COUNTIF('Pull Data'!C$2:C$1000, E9) &gt; 0, E9, "")</f>
        <v/>
      </c>
      <c r="G9" t="str">
        <f t="shared" si="1"/>
        <v/>
      </c>
    </row>
    <row r="10" spans="1:7" x14ac:dyDescent="0.25">
      <c r="A10" s="6"/>
      <c r="B10" t="str">
        <f>IF(COUNTIF('Pull Data'!B$2:B$1000, A10) &gt; 0, A10, "")</f>
        <v/>
      </c>
      <c r="C10" t="str">
        <f t="shared" si="0"/>
        <v/>
      </c>
      <c r="F10" t="str">
        <f>IF(COUNTIF('Pull Data'!C$2:C$1000, E10) &gt; 0, E10, "")</f>
        <v/>
      </c>
      <c r="G10" t="str">
        <f t="shared" si="1"/>
        <v/>
      </c>
    </row>
    <row r="11" spans="1:7" x14ac:dyDescent="0.25">
      <c r="A11" s="6"/>
      <c r="B11" t="str">
        <f>IF(COUNTIF('Pull Data'!B$2:B$1000, A11) &gt; 0, A11, "")</f>
        <v/>
      </c>
      <c r="C11" t="str">
        <f t="shared" si="0"/>
        <v/>
      </c>
      <c r="F11" t="str">
        <f>IF(COUNTIF('Pull Data'!C$2:C$1000, E11) &gt; 0, E11, "")</f>
        <v/>
      </c>
      <c r="G11" t="str">
        <f t="shared" si="1"/>
        <v/>
      </c>
    </row>
    <row r="12" spans="1:7" x14ac:dyDescent="0.25">
      <c r="A12" s="6"/>
      <c r="B12" t="str">
        <f>IF(COUNTIF('Pull Data'!B$2:B$1000, A12) &gt; 0, A12, "")</f>
        <v/>
      </c>
      <c r="C12" t="str">
        <f t="shared" si="0"/>
        <v/>
      </c>
      <c r="F12" t="str">
        <f>IF(COUNTIF('Pull Data'!C$2:C$1000, E12) &gt; 0, E12, "")</f>
        <v/>
      </c>
      <c r="G12" t="str">
        <f t="shared" si="1"/>
        <v/>
      </c>
    </row>
    <row r="13" spans="1:7" x14ac:dyDescent="0.25">
      <c r="A13" s="6"/>
      <c r="B13" t="str">
        <f>IF(COUNTIF('Pull Data'!B$2:B$1000, A13) &gt; 0, A13, "")</f>
        <v/>
      </c>
      <c r="C13" t="str">
        <f t="shared" si="0"/>
        <v/>
      </c>
      <c r="F13" t="str">
        <f>IF(COUNTIF('Pull Data'!C$2:C$1000, E13) &gt; 0, E13, "")</f>
        <v/>
      </c>
      <c r="G13" t="str">
        <f t="shared" si="1"/>
        <v/>
      </c>
    </row>
    <row r="14" spans="1:7" x14ac:dyDescent="0.25">
      <c r="A14" s="6"/>
      <c r="B14" t="str">
        <f>IF(COUNTIF('Pull Data'!B$2:B$1000, A14) &gt; 0, A14, "")</f>
        <v/>
      </c>
      <c r="C14" t="str">
        <f t="shared" si="0"/>
        <v/>
      </c>
      <c r="F14" t="str">
        <f>IF(COUNTIF('Pull Data'!C$2:C$1000, E14) &gt; 0, E14, "")</f>
        <v/>
      </c>
      <c r="G14" t="str">
        <f t="shared" si="1"/>
        <v/>
      </c>
    </row>
    <row r="15" spans="1:7" x14ac:dyDescent="0.25">
      <c r="A15" s="6"/>
      <c r="B15" t="str">
        <f>IF(COUNTIF('Pull Data'!B$2:B$1000, A15) &gt; 0, A15, "")</f>
        <v/>
      </c>
      <c r="C15" t="str">
        <f t="shared" si="0"/>
        <v/>
      </c>
      <c r="F15" t="str">
        <f>IF(COUNTIF('Pull Data'!C$2:C$1000, E15) &gt; 0, E15, "")</f>
        <v/>
      </c>
      <c r="G15" t="str">
        <f t="shared" si="1"/>
        <v/>
      </c>
    </row>
    <row r="16" spans="1:7" x14ac:dyDescent="0.25">
      <c r="A16" s="6"/>
      <c r="B16" t="str">
        <f>IF(COUNTIF('Pull Data'!B$2:B$1000, A16) &gt; 0, A16, "")</f>
        <v/>
      </c>
      <c r="C16" t="str">
        <f t="shared" si="0"/>
        <v/>
      </c>
      <c r="F16" t="str">
        <f>IF(COUNTIF('Pull Data'!C$2:C$1000, E16) &gt; 0, E16, "")</f>
        <v/>
      </c>
      <c r="G16" t="str">
        <f t="shared" si="1"/>
        <v/>
      </c>
    </row>
    <row r="17" spans="1:7" x14ac:dyDescent="0.25">
      <c r="A17" s="6"/>
      <c r="B17" t="str">
        <f>IF(COUNTIF('Pull Data'!B$2:B$1000, A17) &gt; 0, A17, "")</f>
        <v/>
      </c>
      <c r="C17" t="str">
        <f t="shared" si="0"/>
        <v/>
      </c>
      <c r="F17" t="str">
        <f>IF(COUNTIF('Pull Data'!C$2:C$1000, E17) &gt; 0, E17, "")</f>
        <v/>
      </c>
      <c r="G17" t="str">
        <f t="shared" si="1"/>
        <v/>
      </c>
    </row>
    <row r="18" spans="1:7" x14ac:dyDescent="0.25">
      <c r="A18" s="6"/>
      <c r="B18" t="str">
        <f>IF(COUNTIF('Pull Data'!B$2:B$1000, A18) &gt; 0, A18, "")</f>
        <v/>
      </c>
      <c r="C18" t="str">
        <f t="shared" si="0"/>
        <v/>
      </c>
      <c r="F18" t="str">
        <f>IF(COUNTIF('Pull Data'!C$2:C$1000, E18) &gt; 0, E18, "")</f>
        <v/>
      </c>
      <c r="G18" t="str">
        <f t="shared" si="1"/>
        <v/>
      </c>
    </row>
    <row r="19" spans="1:7" x14ac:dyDescent="0.25">
      <c r="A19" s="6"/>
      <c r="B19" t="str">
        <f>IF(COUNTIF('Pull Data'!B$2:B$1000, A19) &gt; 0, A19, "")</f>
        <v/>
      </c>
      <c r="C19" t="str">
        <f t="shared" si="0"/>
        <v/>
      </c>
      <c r="F19" t="str">
        <f>IF(COUNTIF('Pull Data'!C$2:C$1000, E19) &gt; 0, E19, "")</f>
        <v/>
      </c>
      <c r="G19" t="str">
        <f t="shared" si="1"/>
        <v/>
      </c>
    </row>
    <row r="20" spans="1:7" x14ac:dyDescent="0.25">
      <c r="A20" s="6"/>
      <c r="B20" t="str">
        <f>IF(COUNTIF('Pull Data'!B$2:B$1000, A20) &gt; 0, A20, "")</f>
        <v/>
      </c>
      <c r="C20" t="str">
        <f t="shared" si="0"/>
        <v/>
      </c>
      <c r="F20" t="str">
        <f>IF(COUNTIF('Pull Data'!C$2:C$1000, E20) &gt; 0, E20, "")</f>
        <v/>
      </c>
      <c r="G20" t="str">
        <f t="shared" si="1"/>
        <v/>
      </c>
    </row>
    <row r="21" spans="1:7" x14ac:dyDescent="0.25">
      <c r="A21" s="6"/>
      <c r="B21" t="str">
        <f>IF(COUNTIF('Pull Data'!B$2:B$1000, A21) &gt; 0, A21, "")</f>
        <v/>
      </c>
      <c r="C21" t="str">
        <f t="shared" si="0"/>
        <v/>
      </c>
      <c r="F21" t="str">
        <f>IF(COUNTIF('Pull Data'!C$2:C$1000, E21) &gt; 0, E21, "")</f>
        <v/>
      </c>
      <c r="G21" t="str">
        <f t="shared" si="1"/>
        <v/>
      </c>
    </row>
    <row r="22" spans="1:7" x14ac:dyDescent="0.25">
      <c r="A22" s="6"/>
      <c r="B22" t="str">
        <f>IF(COUNTIF('Pull Data'!B$2:B$1000, A22) &gt; 0, A22, "")</f>
        <v/>
      </c>
      <c r="C22" t="str">
        <f t="shared" si="0"/>
        <v/>
      </c>
      <c r="F22" t="str">
        <f>IF(COUNTIF('Pull Data'!C$2:C$1000, E22) &gt; 0, E22, "")</f>
        <v/>
      </c>
      <c r="G22" t="str">
        <f t="shared" si="1"/>
        <v/>
      </c>
    </row>
    <row r="23" spans="1:7" x14ac:dyDescent="0.25">
      <c r="A23" s="6"/>
      <c r="B23" t="str">
        <f>IF(COUNTIF('Pull Data'!B$2:B$1000, A23) &gt; 0, A23, "")</f>
        <v/>
      </c>
      <c r="C23" t="str">
        <f t="shared" si="0"/>
        <v/>
      </c>
      <c r="F23" t="str">
        <f>IF(COUNTIF('Pull Data'!C$2:C$1000, E23) &gt; 0, E23, "")</f>
        <v/>
      </c>
      <c r="G23" t="str">
        <f t="shared" si="1"/>
        <v/>
      </c>
    </row>
    <row r="24" spans="1:7" x14ac:dyDescent="0.25">
      <c r="A24" s="6"/>
      <c r="B24" t="str">
        <f>IF(COUNTIF('Pull Data'!B$2:B$1000, A24) &gt; 0, A24, "")</f>
        <v/>
      </c>
      <c r="C24" t="str">
        <f t="shared" si="0"/>
        <v/>
      </c>
      <c r="F24" t="str">
        <f>IF(COUNTIF('Pull Data'!C$2:C$1000, E24) &gt; 0, E24, "")</f>
        <v/>
      </c>
      <c r="G24" t="str">
        <f t="shared" si="1"/>
        <v/>
      </c>
    </row>
    <row r="25" spans="1:7" x14ac:dyDescent="0.25">
      <c r="B25" t="str">
        <f>IF(COUNTIF('Pull Data'!B$2:B$1000, A25) &gt; 0, A25, "")</f>
        <v/>
      </c>
      <c r="C25" t="str">
        <f t="shared" si="0"/>
        <v/>
      </c>
      <c r="F25" t="str">
        <f>IF(COUNTIF('Pull Data'!C$2:C$1000, E25) &gt; 0, E25, "")</f>
        <v/>
      </c>
      <c r="G25" t="str">
        <f t="shared" si="1"/>
        <v/>
      </c>
    </row>
    <row r="26" spans="1:7" x14ac:dyDescent="0.25">
      <c r="B26" t="str">
        <f>IF(COUNTIF('Pull Data'!B$2:B$1000, A26) &gt; 0, A26, "")</f>
        <v/>
      </c>
      <c r="C26" t="str">
        <f t="shared" si="0"/>
        <v/>
      </c>
      <c r="F26" t="str">
        <f>IF(COUNTIF('Pull Data'!C$2:C$1000, E26) &gt; 0, E26, "")</f>
        <v/>
      </c>
      <c r="G26" t="str">
        <f t="shared" si="1"/>
        <v/>
      </c>
    </row>
    <row r="27" spans="1:7" x14ac:dyDescent="0.25">
      <c r="B27" t="str">
        <f>IF(COUNTIF('Pull Data'!B$2:B$1000, A27) &gt; 0, A27, "")</f>
        <v/>
      </c>
      <c r="C27" t="str">
        <f t="shared" si="0"/>
        <v/>
      </c>
      <c r="F27" t="str">
        <f>IF(COUNTIF('Pull Data'!C$2:C$1000, E27) &gt; 0, E27, "")</f>
        <v/>
      </c>
      <c r="G27" t="str">
        <f t="shared" si="1"/>
        <v/>
      </c>
    </row>
    <row r="28" spans="1:7" x14ac:dyDescent="0.25">
      <c r="B28" t="str">
        <f>IF(COUNTIF('Pull Data'!B$2:B$1000, A28) &gt; 0, A28, "")</f>
        <v/>
      </c>
      <c r="C28" t="str">
        <f t="shared" si="0"/>
        <v/>
      </c>
      <c r="F28" t="str">
        <f>IF(COUNTIF('Pull Data'!C$2:C$1000, E28) &gt; 0, E28, "")</f>
        <v/>
      </c>
      <c r="G28" t="str">
        <f t="shared" si="1"/>
        <v/>
      </c>
    </row>
    <row r="29" spans="1:7" x14ac:dyDescent="0.25">
      <c r="B29" t="str">
        <f>IF(COUNTIF('Pull Data'!B$2:B$1000, A29) &gt; 0, A29, "")</f>
        <v/>
      </c>
      <c r="C29" t="str">
        <f t="shared" si="0"/>
        <v/>
      </c>
      <c r="F29" t="str">
        <f>IF(COUNTIF('Pull Data'!C$2:C$1000, E29) &gt; 0, E29, "")</f>
        <v/>
      </c>
      <c r="G29" t="str">
        <f t="shared" si="1"/>
        <v/>
      </c>
    </row>
    <row r="30" spans="1:7" x14ac:dyDescent="0.25">
      <c r="B30" t="str">
        <f>IF(COUNTIF('Pull Data'!B$2:B$1000, A30) &gt; 0, A30, "")</f>
        <v/>
      </c>
      <c r="C30" t="str">
        <f t="shared" si="0"/>
        <v/>
      </c>
      <c r="F30" t="str">
        <f>IF(COUNTIF('Pull Data'!C$2:C$1000, E30) &gt; 0, E30, "")</f>
        <v/>
      </c>
      <c r="G30" t="str">
        <f t="shared" si="1"/>
        <v/>
      </c>
    </row>
    <row r="31" spans="1:7" x14ac:dyDescent="0.25">
      <c r="B31" t="str">
        <f>IF(COUNTIF('Pull Data'!B$2:B$1000, A31) &gt; 0, A31, "")</f>
        <v/>
      </c>
      <c r="C31" t="str">
        <f t="shared" si="0"/>
        <v/>
      </c>
      <c r="F31" t="str">
        <f>IF(COUNTIF('Pull Data'!C$2:C$1000, E31) &gt; 0, E31, "")</f>
        <v/>
      </c>
      <c r="G31" t="str">
        <f t="shared" si="1"/>
        <v/>
      </c>
    </row>
    <row r="32" spans="1:7" x14ac:dyDescent="0.25">
      <c r="B32" t="str">
        <f>IF(COUNTIF('Pull Data'!B$2:B$1000, A32) &gt; 0, A32, "")</f>
        <v/>
      </c>
      <c r="C32" t="str">
        <f t="shared" si="0"/>
        <v/>
      </c>
      <c r="F32" t="str">
        <f>IF(COUNTIF('Pull Data'!C$2:C$1000, E32) &gt; 0, E32, "")</f>
        <v/>
      </c>
      <c r="G32" t="str">
        <f t="shared" si="1"/>
        <v/>
      </c>
    </row>
    <row r="33" spans="2:7" x14ac:dyDescent="0.25">
      <c r="B33" t="str">
        <f>IF(COUNTIF('Pull Data'!B$2:B$1000, A33) &gt; 0, A33, "")</f>
        <v/>
      </c>
      <c r="C33" t="str">
        <f t="shared" si="0"/>
        <v/>
      </c>
      <c r="F33" t="str">
        <f>IF(COUNTIF('Pull Data'!C$2:C$1000, E33) &gt; 0, E33, "")</f>
        <v/>
      </c>
      <c r="G33" t="str">
        <f t="shared" si="1"/>
        <v/>
      </c>
    </row>
    <row r="34" spans="2:7" x14ac:dyDescent="0.25">
      <c r="B34" t="str">
        <f>IF(COUNTIF('Pull Data'!B$2:B$1000, A34) &gt; 0, A34, "")</f>
        <v/>
      </c>
      <c r="C34" t="str">
        <f t="shared" si="0"/>
        <v/>
      </c>
      <c r="F34" t="str">
        <f>IF(COUNTIF('Pull Data'!C$2:C$1000, E34) &gt; 0, E34, "")</f>
        <v/>
      </c>
      <c r="G34" t="str">
        <f t="shared" si="1"/>
        <v/>
      </c>
    </row>
    <row r="35" spans="2:7" x14ac:dyDescent="0.25">
      <c r="B35" t="str">
        <f>IF(COUNTIF('Pull Data'!B$2:B$1000, A35) &gt; 0, A35, "")</f>
        <v/>
      </c>
      <c r="C35" t="str">
        <f t="shared" si="0"/>
        <v/>
      </c>
      <c r="F35" t="str">
        <f>IF(COUNTIF('Pull Data'!C$2:C$1000, E35) &gt; 0, E35, "")</f>
        <v/>
      </c>
      <c r="G35" t="str">
        <f t="shared" si="1"/>
        <v/>
      </c>
    </row>
    <row r="36" spans="2:7" x14ac:dyDescent="0.25">
      <c r="B36" t="str">
        <f>IF(COUNTIF('Pull Data'!B$2:B$1000, A36) &gt; 0, A36, "")</f>
        <v/>
      </c>
      <c r="C36" t="str">
        <f t="shared" si="0"/>
        <v/>
      </c>
      <c r="F36" t="str">
        <f>IF(COUNTIF('Pull Data'!C$2:C$1000, E36) &gt; 0, E36, "")</f>
        <v/>
      </c>
      <c r="G36" t="str">
        <f t="shared" si="1"/>
        <v/>
      </c>
    </row>
    <row r="37" spans="2:7" x14ac:dyDescent="0.25">
      <c r="B37" t="str">
        <f>IF(COUNTIF('Pull Data'!B$2:B$1000, A37) &gt; 0, A37, "")</f>
        <v/>
      </c>
      <c r="C37" t="str">
        <f t="shared" si="0"/>
        <v/>
      </c>
      <c r="F37" t="str">
        <f>IF(COUNTIF('Pull Data'!C$2:C$1000, E37) &gt; 0, E37, "")</f>
        <v/>
      </c>
      <c r="G37" t="str">
        <f t="shared" si="1"/>
        <v/>
      </c>
    </row>
    <row r="38" spans="2:7" x14ac:dyDescent="0.25">
      <c r="B38" t="str">
        <f>IF(COUNTIF('Pull Data'!B$2:B$1000, A38) &gt; 0, A38, "")</f>
        <v/>
      </c>
      <c r="C38" t="str">
        <f t="shared" si="0"/>
        <v/>
      </c>
      <c r="F38" t="str">
        <f>IF(COUNTIF('Pull Data'!C$2:C$1000, E38) &gt; 0, E38, "")</f>
        <v/>
      </c>
      <c r="G38" t="str">
        <f t="shared" si="1"/>
        <v/>
      </c>
    </row>
    <row r="39" spans="2:7" x14ac:dyDescent="0.25">
      <c r="B39" t="str">
        <f>IF(COUNTIF('Pull Data'!B$2:B$1000, A39) &gt; 0, A39, "")</f>
        <v/>
      </c>
      <c r="C39" t="str">
        <f t="shared" si="0"/>
        <v/>
      </c>
      <c r="F39" t="str">
        <f>IF(COUNTIF('Pull Data'!C$2:C$1000, E39) &gt; 0, E39, "")</f>
        <v/>
      </c>
      <c r="G39" t="str">
        <f t="shared" si="1"/>
        <v/>
      </c>
    </row>
    <row r="40" spans="2:7" x14ac:dyDescent="0.25">
      <c r="B40" t="str">
        <f>IF(COUNTIF('Pull Data'!B$2:B$1000, A40) &gt; 0, A40, "")</f>
        <v/>
      </c>
      <c r="C40" t="str">
        <f t="shared" si="0"/>
        <v/>
      </c>
      <c r="F40" t="str">
        <f>IF(COUNTIF('Pull Data'!C$2:C$1000, E40) &gt; 0, E40, "")</f>
        <v/>
      </c>
      <c r="G40" t="str">
        <f t="shared" si="1"/>
        <v/>
      </c>
    </row>
    <row r="41" spans="2:7" x14ac:dyDescent="0.25">
      <c r="B41" t="str">
        <f>IF(COUNTIF('Pull Data'!B$2:B$1000, A41) &gt; 0, A41, "")</f>
        <v/>
      </c>
      <c r="C41" t="str">
        <f t="shared" si="0"/>
        <v/>
      </c>
      <c r="F41" t="str">
        <f>IF(COUNTIF('Pull Data'!C$2:C$1000, E41) &gt; 0, E41, "")</f>
        <v/>
      </c>
      <c r="G41" t="str">
        <f t="shared" si="1"/>
        <v/>
      </c>
    </row>
    <row r="42" spans="2:7" x14ac:dyDescent="0.25">
      <c r="B42" t="str">
        <f>IF(COUNTIF('Pull Data'!B$2:B$1000, A42) &gt; 0, A42, "")</f>
        <v/>
      </c>
      <c r="C42" t="str">
        <f t="shared" si="0"/>
        <v/>
      </c>
      <c r="F42" t="str">
        <f>IF(COUNTIF('Pull Data'!C$2:C$1000, E42) &gt; 0, E42, "")</f>
        <v/>
      </c>
      <c r="G42" t="str">
        <f t="shared" si="1"/>
        <v/>
      </c>
    </row>
    <row r="43" spans="2:7" x14ac:dyDescent="0.25">
      <c r="B43" t="str">
        <f>IF(COUNTIF('Pull Data'!B$2:B$1000, A43) &gt; 0, A43, "")</f>
        <v/>
      </c>
      <c r="C43" t="str">
        <f t="shared" si="0"/>
        <v/>
      </c>
      <c r="F43" t="str">
        <f>IF(COUNTIF('Pull Data'!C$2:C$1000, E43) &gt; 0, E43, "")</f>
        <v/>
      </c>
      <c r="G43" t="str">
        <f t="shared" si="1"/>
        <v/>
      </c>
    </row>
    <row r="44" spans="2:7" x14ac:dyDescent="0.25">
      <c r="B44" t="str">
        <f>IF(COUNTIF('Pull Data'!B$2:B$1000, A44) &gt; 0, A44, "")</f>
        <v/>
      </c>
      <c r="C44" t="str">
        <f t="shared" si="0"/>
        <v/>
      </c>
      <c r="F44" t="str">
        <f>IF(COUNTIF('Pull Data'!C$2:C$1000, E44) &gt; 0, E44, "")</f>
        <v/>
      </c>
      <c r="G44" t="str">
        <f t="shared" si="1"/>
        <v/>
      </c>
    </row>
    <row r="45" spans="2:7" x14ac:dyDescent="0.25">
      <c r="B45" t="str">
        <f>IF(COUNTIF('Pull Data'!B$2:B$1000, A45) &gt; 0, A45, "")</f>
        <v/>
      </c>
      <c r="C45" t="str">
        <f t="shared" si="0"/>
        <v/>
      </c>
      <c r="F45" t="str">
        <f>IF(COUNTIF('Pull Data'!C$2:C$1000, E45) &gt; 0, E45, "")</f>
        <v/>
      </c>
      <c r="G45" t="str">
        <f t="shared" si="1"/>
        <v/>
      </c>
    </row>
    <row r="46" spans="2:7" x14ac:dyDescent="0.25">
      <c r="B46" t="str">
        <f>IF(COUNTIF('Pull Data'!B$2:B$1000, A46) &gt; 0, A46, "")</f>
        <v/>
      </c>
      <c r="C46" t="str">
        <f t="shared" si="0"/>
        <v/>
      </c>
      <c r="F46" t="str">
        <f>IF(COUNTIF('Pull Data'!C$2:C$1000, E46) &gt; 0, E46, "")</f>
        <v/>
      </c>
      <c r="G46" t="str">
        <f t="shared" si="1"/>
        <v/>
      </c>
    </row>
    <row r="47" spans="2:7" x14ac:dyDescent="0.25">
      <c r="B47" t="str">
        <f>IF(COUNTIF('Pull Data'!B$2:B$1000, A47) &gt; 0, A47, "")</f>
        <v/>
      </c>
      <c r="C47" t="str">
        <f t="shared" si="0"/>
        <v/>
      </c>
      <c r="F47" t="str">
        <f>IF(COUNTIF('Pull Data'!C$2:C$1000, E47) &gt; 0, E47, "")</f>
        <v/>
      </c>
      <c r="G47" t="str">
        <f t="shared" si="1"/>
        <v/>
      </c>
    </row>
    <row r="48" spans="2:7" x14ac:dyDescent="0.25">
      <c r="B48" t="str">
        <f>IF(COUNTIF('Pull Data'!B$2:B$1000, A48) &gt; 0, A48, "")</f>
        <v/>
      </c>
      <c r="C48" t="str">
        <f t="shared" si="0"/>
        <v/>
      </c>
      <c r="F48" t="str">
        <f>IF(COUNTIF('Pull Data'!C$2:C$1000, E48) &gt; 0, E48, "")</f>
        <v/>
      </c>
      <c r="G48" t="str">
        <f t="shared" si="1"/>
        <v/>
      </c>
    </row>
    <row r="49" spans="2:7" x14ac:dyDescent="0.25">
      <c r="B49" t="str">
        <f>IF(COUNTIF('Pull Data'!B$2:B$1000, A49) &gt; 0, A49, "")</f>
        <v/>
      </c>
      <c r="C49" t="str">
        <f t="shared" si="0"/>
        <v/>
      </c>
      <c r="F49" t="str">
        <f>IF(COUNTIF('Pull Data'!C$2:C$1000, E49) &gt; 0, E49, "")</f>
        <v/>
      </c>
      <c r="G49" t="str">
        <f t="shared" si="1"/>
        <v/>
      </c>
    </row>
    <row r="50" spans="2:7" x14ac:dyDescent="0.25">
      <c r="B50" t="str">
        <f>IF(COUNTIF('Pull Data'!B$2:B$1000, A50) &gt; 0, A50, "")</f>
        <v/>
      </c>
      <c r="C50" t="str">
        <f t="shared" si="0"/>
        <v/>
      </c>
      <c r="F50" t="str">
        <f>IF(COUNTIF('Pull Data'!C$2:C$1000, E50) &gt; 0, E50, "")</f>
        <v/>
      </c>
      <c r="G50" t="str">
        <f t="shared" si="1"/>
        <v/>
      </c>
    </row>
    <row r="51" spans="2:7" x14ac:dyDescent="0.25">
      <c r="B51" t="str">
        <f>IF(COUNTIF('Pull Data'!B$2:B$1000, A51) &gt; 0, A51, "")</f>
        <v/>
      </c>
      <c r="C51" t="str">
        <f t="shared" si="0"/>
        <v/>
      </c>
      <c r="F51" t="str">
        <f>IF(COUNTIF('Pull Data'!C$2:C$1000, E51) &gt; 0, E51, "")</f>
        <v/>
      </c>
      <c r="G51" t="str">
        <f t="shared" si="1"/>
        <v/>
      </c>
    </row>
    <row r="52" spans="2:7" x14ac:dyDescent="0.25">
      <c r="B52" t="str">
        <f>IF(COUNTIF('Pull Data'!B$2:B$1000, A52) &gt; 0, A52, "")</f>
        <v/>
      </c>
      <c r="C52" t="str">
        <f t="shared" si="0"/>
        <v/>
      </c>
      <c r="F52" t="str">
        <f>IF(COUNTIF('Pull Data'!C$2:C$1000, E52) &gt; 0, E52, "")</f>
        <v/>
      </c>
      <c r="G52" t="str">
        <f t="shared" si="1"/>
        <v/>
      </c>
    </row>
    <row r="53" spans="2:7" x14ac:dyDescent="0.25">
      <c r="B53" t="str">
        <f>IF(COUNTIF('Pull Data'!B$2:B$1000, A53) &gt; 0, A53, "")</f>
        <v/>
      </c>
      <c r="C53" t="str">
        <f t="shared" si="0"/>
        <v/>
      </c>
      <c r="F53" t="str">
        <f>IF(COUNTIF('Pull Data'!C$2:C$1000, E53) &gt; 0, E53, "")</f>
        <v/>
      </c>
      <c r="G53" t="str">
        <f t="shared" si="1"/>
        <v/>
      </c>
    </row>
    <row r="54" spans="2:7" x14ac:dyDescent="0.25">
      <c r="B54" t="str">
        <f>IF(COUNTIF('Pull Data'!B$2:B$1000, A54) &gt; 0, A54, "")</f>
        <v/>
      </c>
      <c r="C54" t="str">
        <f t="shared" si="0"/>
        <v/>
      </c>
      <c r="F54" t="str">
        <f>IF(COUNTIF('Pull Data'!C$2:C$1000, E54) &gt; 0, E54, "")</f>
        <v/>
      </c>
      <c r="G54" t="str">
        <f t="shared" si="1"/>
        <v/>
      </c>
    </row>
    <row r="55" spans="2:7" x14ac:dyDescent="0.25">
      <c r="B55" t="str">
        <f>IF(COUNTIF('Pull Data'!B$2:B$1000, A55) &gt; 0, A55, "")</f>
        <v/>
      </c>
      <c r="C55" t="str">
        <f t="shared" si="0"/>
        <v/>
      </c>
      <c r="F55" t="str">
        <f>IF(COUNTIF('Pull Data'!C$2:C$1000, E55) &gt; 0, E55, "")</f>
        <v/>
      </c>
      <c r="G55" t="str">
        <f t="shared" si="1"/>
        <v/>
      </c>
    </row>
    <row r="56" spans="2:7" x14ac:dyDescent="0.25">
      <c r="B56" t="str">
        <f>IF(COUNTIF('Pull Data'!B$2:B$1000, A56) &gt; 0, A56, "")</f>
        <v/>
      </c>
      <c r="C56" t="str">
        <f t="shared" si="0"/>
        <v/>
      </c>
      <c r="F56" t="str">
        <f>IF(COUNTIF('Pull Data'!C$2:C$1000, E56) &gt; 0, E56, "")</f>
        <v/>
      </c>
      <c r="G56" t="str">
        <f t="shared" si="1"/>
        <v/>
      </c>
    </row>
    <row r="57" spans="2:7" x14ac:dyDescent="0.25">
      <c r="B57" t="str">
        <f>IF(COUNTIF('Pull Data'!B$2:B$1000, A57) &gt; 0, A57, "")</f>
        <v/>
      </c>
      <c r="C57" t="str">
        <f t="shared" si="0"/>
        <v/>
      </c>
      <c r="F57" t="str">
        <f>IF(COUNTIF('Pull Data'!C$2:C$1000, E57) &gt; 0, E57, "")</f>
        <v/>
      </c>
      <c r="G57" t="str">
        <f t="shared" si="1"/>
        <v/>
      </c>
    </row>
    <row r="58" spans="2:7" x14ac:dyDescent="0.25">
      <c r="B58" t="str">
        <f>IF(COUNTIF('Pull Data'!B$2:B$1000, A58) &gt; 0, A58, "")</f>
        <v/>
      </c>
      <c r="C58" t="str">
        <f t="shared" si="0"/>
        <v/>
      </c>
      <c r="F58" t="str">
        <f>IF(COUNTIF('Pull Data'!C$2:C$1000, E58) &gt; 0, E58, "")</f>
        <v/>
      </c>
      <c r="G58" t="str">
        <f t="shared" si="1"/>
        <v/>
      </c>
    </row>
    <row r="59" spans="2:7" x14ac:dyDescent="0.25">
      <c r="B59" t="str">
        <f>IF(COUNTIF('Pull Data'!B$2:B$1000, A59) &gt; 0, A59, "")</f>
        <v/>
      </c>
      <c r="C59" t="str">
        <f t="shared" si="0"/>
        <v/>
      </c>
      <c r="F59" t="str">
        <f>IF(COUNTIF('Pull Data'!C$2:C$1000, E59) &gt; 0, E59, "")</f>
        <v/>
      </c>
      <c r="G59" t="str">
        <f t="shared" si="1"/>
        <v/>
      </c>
    </row>
    <row r="60" spans="2:7" x14ac:dyDescent="0.25">
      <c r="B60" t="str">
        <f>IF(COUNTIF('Pull Data'!B$2:B$1000, A60) &gt; 0, A60, "")</f>
        <v/>
      </c>
      <c r="C60" t="str">
        <f t="shared" si="0"/>
        <v/>
      </c>
      <c r="F60" t="str">
        <f>IF(COUNTIF('Pull Data'!C$2:C$1000, E60) &gt; 0, E60, "")</f>
        <v/>
      </c>
      <c r="G60" t="str">
        <f t="shared" si="1"/>
        <v/>
      </c>
    </row>
    <row r="61" spans="2:7" x14ac:dyDescent="0.25">
      <c r="B61" t="str">
        <f>IF(COUNTIF('Pull Data'!B$2:B$1000, A61) &gt; 0, A61, "")</f>
        <v/>
      </c>
      <c r="C61" t="str">
        <f t="shared" si="0"/>
        <v/>
      </c>
      <c r="F61" t="str">
        <f>IF(COUNTIF('Pull Data'!C$2:C$1000, E61) &gt; 0, E61, "")</f>
        <v/>
      </c>
      <c r="G61" t="str">
        <f t="shared" si="1"/>
        <v/>
      </c>
    </row>
    <row r="62" spans="2:7" x14ac:dyDescent="0.25">
      <c r="B62" t="str">
        <f>IF(COUNTIF('Pull Data'!B$2:B$1000, A62) &gt; 0, A62, "")</f>
        <v/>
      </c>
      <c r="C62" t="str">
        <f t="shared" si="0"/>
        <v/>
      </c>
      <c r="F62" t="str">
        <f>IF(COUNTIF('Pull Data'!C$2:C$1000, E62) &gt; 0, E62, "")</f>
        <v/>
      </c>
      <c r="G62" t="str">
        <f t="shared" si="1"/>
        <v/>
      </c>
    </row>
    <row r="63" spans="2:7" x14ac:dyDescent="0.25">
      <c r="B63" t="str">
        <f>IF(COUNTIF('Pull Data'!B$2:B$1000, A63) &gt; 0, A63, "")</f>
        <v/>
      </c>
      <c r="C63" t="str">
        <f t="shared" si="0"/>
        <v/>
      </c>
      <c r="F63" t="str">
        <f>IF(COUNTIF('Pull Data'!C$2:C$1000, E63) &gt; 0, E63, "")</f>
        <v/>
      </c>
      <c r="G63" t="str">
        <f t="shared" si="1"/>
        <v/>
      </c>
    </row>
    <row r="64" spans="2:7" x14ac:dyDescent="0.25">
      <c r="B64" t="str">
        <f>IF(COUNTIF('Pull Data'!B$2:B$1000, A64) &gt; 0, A64, "")</f>
        <v/>
      </c>
      <c r="C64" t="str">
        <f t="shared" si="0"/>
        <v/>
      </c>
      <c r="F64" t="str">
        <f>IF(COUNTIF('Pull Data'!C$2:C$1000, E64) &gt; 0, E64, "")</f>
        <v/>
      </c>
      <c r="G64" t="str">
        <f t="shared" si="1"/>
        <v/>
      </c>
    </row>
    <row r="65" spans="2:7" x14ac:dyDescent="0.25">
      <c r="B65" t="str">
        <f>IF(COUNTIF('Pull Data'!B$2:B$1000, A65) &gt; 0, A65, "")</f>
        <v/>
      </c>
      <c r="C65" t="str">
        <f t="shared" si="0"/>
        <v/>
      </c>
      <c r="F65" t="str">
        <f>IF(COUNTIF('Pull Data'!C$2:C$1000, E65) &gt; 0, E65, "")</f>
        <v/>
      </c>
      <c r="G65" t="str">
        <f t="shared" si="1"/>
        <v/>
      </c>
    </row>
    <row r="66" spans="2:7" x14ac:dyDescent="0.25">
      <c r="B66" t="str">
        <f>IF(COUNTIF('Pull Data'!B$2:B$1000, A66) &gt; 0, A66, "")</f>
        <v/>
      </c>
      <c r="C66" t="str">
        <f t="shared" si="0"/>
        <v/>
      </c>
      <c r="F66" t="str">
        <f>IF(COUNTIF('Pull Data'!C$2:C$1000, E66) &gt; 0, E66, "")</f>
        <v/>
      </c>
      <c r="G66" t="str">
        <f t="shared" si="1"/>
        <v/>
      </c>
    </row>
    <row r="67" spans="2:7" x14ac:dyDescent="0.25">
      <c r="B67" t="str">
        <f>IF(COUNTIF('Pull Data'!B$2:B$1000, A67) &gt; 0, A67, "")</f>
        <v/>
      </c>
      <c r="C67" t="str">
        <f t="shared" ref="C67:C130" si="2">IF(AND(A67="", B67=""), "", IF(A67&lt;&gt;B67, "Custodian Does Not Appear in Data", "Custodian Appears in Data"))</f>
        <v/>
      </c>
      <c r="F67" t="str">
        <f>IF(COUNTIF('Pull Data'!C$2:C$1000, E67) &gt; 0, E67, "")</f>
        <v/>
      </c>
      <c r="G67" t="str">
        <f t="shared" ref="G67:G130" si="3">IF(AND(E67="", F67=""), "", IF(E67&lt;&gt;F67, "c/o Does Not Appear in Data", "c/o Appears in Data"))</f>
        <v/>
      </c>
    </row>
    <row r="68" spans="2:7" x14ac:dyDescent="0.25">
      <c r="B68" t="str">
        <f>IF(COUNTIF('Pull Data'!B$2:B$1000, A68) &gt; 0, A68, "")</f>
        <v/>
      </c>
      <c r="C68" t="str">
        <f t="shared" si="2"/>
        <v/>
      </c>
      <c r="F68" t="str">
        <f>IF(COUNTIF('Pull Data'!C$2:C$1000, E68) &gt; 0, E68, "")</f>
        <v/>
      </c>
      <c r="G68" t="str">
        <f t="shared" si="3"/>
        <v/>
      </c>
    </row>
    <row r="69" spans="2:7" x14ac:dyDescent="0.25">
      <c r="B69" t="str">
        <f>IF(COUNTIF('Pull Data'!B$2:B$1000, A69) &gt; 0, A69, "")</f>
        <v/>
      </c>
      <c r="C69" t="str">
        <f t="shared" si="2"/>
        <v/>
      </c>
      <c r="F69" t="str">
        <f>IF(COUNTIF('Pull Data'!C$2:C$1000, E69) &gt; 0, E69, "")</f>
        <v/>
      </c>
      <c r="G69" t="str">
        <f t="shared" si="3"/>
        <v/>
      </c>
    </row>
    <row r="70" spans="2:7" x14ac:dyDescent="0.25">
      <c r="B70" t="str">
        <f>IF(COUNTIF('Pull Data'!B$2:B$1000, A70) &gt; 0, A70, "")</f>
        <v/>
      </c>
      <c r="C70" t="str">
        <f t="shared" si="2"/>
        <v/>
      </c>
      <c r="F70" t="str">
        <f>IF(COUNTIF('Pull Data'!C$2:C$1000, E70) &gt; 0, E70, "")</f>
        <v/>
      </c>
      <c r="G70" t="str">
        <f t="shared" si="3"/>
        <v/>
      </c>
    </row>
    <row r="71" spans="2:7" x14ac:dyDescent="0.25">
      <c r="B71" t="str">
        <f>IF(COUNTIF('Pull Data'!B$2:B$1000, A71) &gt; 0, A71, "")</f>
        <v/>
      </c>
      <c r="C71" t="str">
        <f t="shared" si="2"/>
        <v/>
      </c>
      <c r="F71" t="str">
        <f>IF(COUNTIF('Pull Data'!C$2:C$1000, E71) &gt; 0, E71, "")</f>
        <v/>
      </c>
      <c r="G71" t="str">
        <f t="shared" si="3"/>
        <v/>
      </c>
    </row>
    <row r="72" spans="2:7" x14ac:dyDescent="0.25">
      <c r="B72" t="str">
        <f>IF(COUNTIF('Pull Data'!B$2:B$1000, A72) &gt; 0, A72, "")</f>
        <v/>
      </c>
      <c r="C72" t="str">
        <f t="shared" si="2"/>
        <v/>
      </c>
      <c r="F72" t="str">
        <f>IF(COUNTIF('Pull Data'!C$2:C$1000, E72) &gt; 0, E72, "")</f>
        <v/>
      </c>
      <c r="G72" t="str">
        <f t="shared" si="3"/>
        <v/>
      </c>
    </row>
    <row r="73" spans="2:7" x14ac:dyDescent="0.25">
      <c r="B73" t="str">
        <f>IF(COUNTIF('Pull Data'!B$2:B$1000, A73) &gt; 0, A73, "")</f>
        <v/>
      </c>
      <c r="C73" t="str">
        <f t="shared" si="2"/>
        <v/>
      </c>
      <c r="F73" t="str">
        <f>IF(COUNTIF('Pull Data'!C$2:C$1000, E73) &gt; 0, E73, "")</f>
        <v/>
      </c>
      <c r="G73" t="str">
        <f t="shared" si="3"/>
        <v/>
      </c>
    </row>
    <row r="74" spans="2:7" x14ac:dyDescent="0.25">
      <c r="B74" t="str">
        <f>IF(COUNTIF('Pull Data'!B$2:B$1000, A74) &gt; 0, A74, "")</f>
        <v/>
      </c>
      <c r="C74" t="str">
        <f t="shared" si="2"/>
        <v/>
      </c>
      <c r="F74" t="str">
        <f>IF(COUNTIF('Pull Data'!C$2:C$1000, E74) &gt; 0, E74, "")</f>
        <v/>
      </c>
      <c r="G74" t="str">
        <f t="shared" si="3"/>
        <v/>
      </c>
    </row>
    <row r="75" spans="2:7" x14ac:dyDescent="0.25">
      <c r="B75" t="str">
        <f>IF(COUNTIF('Pull Data'!B$2:B$1000, A75) &gt; 0, A75, "")</f>
        <v/>
      </c>
      <c r="C75" t="str">
        <f t="shared" si="2"/>
        <v/>
      </c>
      <c r="F75" t="str">
        <f>IF(COUNTIF('Pull Data'!C$2:C$1000, E75) &gt; 0, E75, "")</f>
        <v/>
      </c>
      <c r="G75" t="str">
        <f t="shared" si="3"/>
        <v/>
      </c>
    </row>
    <row r="76" spans="2:7" x14ac:dyDescent="0.25">
      <c r="B76" t="str">
        <f>IF(COUNTIF('Pull Data'!B$2:B$1000, A76) &gt; 0, A76, "")</f>
        <v/>
      </c>
      <c r="C76" t="str">
        <f t="shared" si="2"/>
        <v/>
      </c>
      <c r="F76" t="str">
        <f>IF(COUNTIF('Pull Data'!C$2:C$1000, E76) &gt; 0, E76, "")</f>
        <v/>
      </c>
      <c r="G76" t="str">
        <f t="shared" si="3"/>
        <v/>
      </c>
    </row>
    <row r="77" spans="2:7" x14ac:dyDescent="0.25">
      <c r="B77" t="str">
        <f>IF(COUNTIF('Pull Data'!B$2:B$1000, A77) &gt; 0, A77, "")</f>
        <v/>
      </c>
      <c r="C77" t="str">
        <f t="shared" si="2"/>
        <v/>
      </c>
      <c r="F77" t="str">
        <f>IF(COUNTIF('Pull Data'!C$2:C$1000, E77) &gt; 0, E77, "")</f>
        <v/>
      </c>
      <c r="G77" t="str">
        <f t="shared" si="3"/>
        <v/>
      </c>
    </row>
    <row r="78" spans="2:7" x14ac:dyDescent="0.25">
      <c r="B78" t="str">
        <f>IF(COUNTIF('Pull Data'!B$2:B$1000, A78) &gt; 0, A78, "")</f>
        <v/>
      </c>
      <c r="C78" t="str">
        <f t="shared" si="2"/>
        <v/>
      </c>
      <c r="F78" t="str">
        <f>IF(COUNTIF('Pull Data'!C$2:C$1000, E78) &gt; 0, E78, "")</f>
        <v/>
      </c>
      <c r="G78" t="str">
        <f t="shared" si="3"/>
        <v/>
      </c>
    </row>
    <row r="79" spans="2:7" x14ac:dyDescent="0.25">
      <c r="B79" t="str">
        <f>IF(COUNTIF('Pull Data'!B$2:B$1000, A79) &gt; 0, A79, "")</f>
        <v/>
      </c>
      <c r="C79" t="str">
        <f t="shared" si="2"/>
        <v/>
      </c>
      <c r="F79" t="str">
        <f>IF(COUNTIF('Pull Data'!C$2:C$1000, E79) &gt; 0, E79, "")</f>
        <v/>
      </c>
      <c r="G79" t="str">
        <f t="shared" si="3"/>
        <v/>
      </c>
    </row>
    <row r="80" spans="2:7" x14ac:dyDescent="0.25">
      <c r="B80" t="str">
        <f>IF(COUNTIF('Pull Data'!B$2:B$1000, A80) &gt; 0, A80, "")</f>
        <v/>
      </c>
      <c r="C80" t="str">
        <f t="shared" si="2"/>
        <v/>
      </c>
      <c r="F80" t="str">
        <f>IF(COUNTIF('Pull Data'!C$2:C$1000, E80) &gt; 0, E80, "")</f>
        <v/>
      </c>
      <c r="G80" t="str">
        <f t="shared" si="3"/>
        <v/>
      </c>
    </row>
    <row r="81" spans="2:7" x14ac:dyDescent="0.25">
      <c r="B81" t="str">
        <f>IF(COUNTIF('Pull Data'!B$2:B$1000, A81) &gt; 0, A81, "")</f>
        <v/>
      </c>
      <c r="C81" t="str">
        <f t="shared" si="2"/>
        <v/>
      </c>
      <c r="F81" t="str">
        <f>IF(COUNTIF('Pull Data'!C$2:C$1000, E81) &gt; 0, E81, "")</f>
        <v/>
      </c>
      <c r="G81" t="str">
        <f t="shared" si="3"/>
        <v/>
      </c>
    </row>
    <row r="82" spans="2:7" x14ac:dyDescent="0.25">
      <c r="B82" t="str">
        <f>IF(COUNTIF('Pull Data'!B$2:B$1000, A82) &gt; 0, A82, "")</f>
        <v/>
      </c>
      <c r="C82" t="str">
        <f t="shared" si="2"/>
        <v/>
      </c>
      <c r="F82" t="str">
        <f>IF(COUNTIF('Pull Data'!C$2:C$1000, E82) &gt; 0, E82, "")</f>
        <v/>
      </c>
      <c r="G82" t="str">
        <f t="shared" si="3"/>
        <v/>
      </c>
    </row>
    <row r="83" spans="2:7" x14ac:dyDescent="0.25">
      <c r="B83" t="str">
        <f>IF(COUNTIF('Pull Data'!B$2:B$1000, A83) &gt; 0, A83, "")</f>
        <v/>
      </c>
      <c r="C83" t="str">
        <f t="shared" si="2"/>
        <v/>
      </c>
      <c r="F83" t="str">
        <f>IF(COUNTIF('Pull Data'!C$2:C$1000, E83) &gt; 0, E83, "")</f>
        <v/>
      </c>
      <c r="G83" t="str">
        <f t="shared" si="3"/>
        <v/>
      </c>
    </row>
    <row r="84" spans="2:7" x14ac:dyDescent="0.25">
      <c r="B84" t="str">
        <f>IF(COUNTIF('Pull Data'!B$2:B$1000, A84) &gt; 0, A84, "")</f>
        <v/>
      </c>
      <c r="C84" t="str">
        <f t="shared" si="2"/>
        <v/>
      </c>
      <c r="F84" t="str">
        <f>IF(COUNTIF('Pull Data'!C$2:C$1000, E84) &gt; 0, E84, "")</f>
        <v/>
      </c>
      <c r="G84" t="str">
        <f t="shared" si="3"/>
        <v/>
      </c>
    </row>
    <row r="85" spans="2:7" x14ac:dyDescent="0.25">
      <c r="B85" t="str">
        <f>IF(COUNTIF('Pull Data'!B$2:B$1000, A85) &gt; 0, A85, "")</f>
        <v/>
      </c>
      <c r="C85" t="str">
        <f t="shared" si="2"/>
        <v/>
      </c>
      <c r="F85" t="str">
        <f>IF(COUNTIF('Pull Data'!C$2:C$1000, E85) &gt; 0, E85, "")</f>
        <v/>
      </c>
      <c r="G85" t="str">
        <f t="shared" si="3"/>
        <v/>
      </c>
    </row>
    <row r="86" spans="2:7" x14ac:dyDescent="0.25">
      <c r="B86" t="str">
        <f>IF(COUNTIF('Pull Data'!B$2:B$1000, A86) &gt; 0, A86, "")</f>
        <v/>
      </c>
      <c r="C86" t="str">
        <f t="shared" si="2"/>
        <v/>
      </c>
      <c r="F86" t="str">
        <f>IF(COUNTIF('Pull Data'!C$2:C$1000, E86) &gt; 0, E86, "")</f>
        <v/>
      </c>
      <c r="G86" t="str">
        <f t="shared" si="3"/>
        <v/>
      </c>
    </row>
    <row r="87" spans="2:7" x14ac:dyDescent="0.25">
      <c r="B87" t="str">
        <f>IF(COUNTIF('Pull Data'!B$2:B$1000, A87) &gt; 0, A87, "")</f>
        <v/>
      </c>
      <c r="C87" t="str">
        <f t="shared" si="2"/>
        <v/>
      </c>
      <c r="F87" t="str">
        <f>IF(COUNTIF('Pull Data'!C$2:C$1000, E87) &gt; 0, E87, "")</f>
        <v/>
      </c>
      <c r="G87" t="str">
        <f t="shared" si="3"/>
        <v/>
      </c>
    </row>
    <row r="88" spans="2:7" x14ac:dyDescent="0.25">
      <c r="B88" t="str">
        <f>IF(COUNTIF('Pull Data'!B$2:B$1000, A88) &gt; 0, A88, "")</f>
        <v/>
      </c>
      <c r="C88" t="str">
        <f t="shared" si="2"/>
        <v/>
      </c>
      <c r="F88" t="str">
        <f>IF(COUNTIF('Pull Data'!C$2:C$1000, E88) &gt; 0, E88, "")</f>
        <v/>
      </c>
      <c r="G88" t="str">
        <f t="shared" si="3"/>
        <v/>
      </c>
    </row>
    <row r="89" spans="2:7" x14ac:dyDescent="0.25">
      <c r="B89" t="str">
        <f>IF(COUNTIF('Pull Data'!B$2:B$1000, A89) &gt; 0, A89, "")</f>
        <v/>
      </c>
      <c r="C89" t="str">
        <f t="shared" si="2"/>
        <v/>
      </c>
      <c r="F89" t="str">
        <f>IF(COUNTIF('Pull Data'!C$2:C$1000, E89) &gt; 0, E89, "")</f>
        <v/>
      </c>
      <c r="G89" t="str">
        <f t="shared" si="3"/>
        <v/>
      </c>
    </row>
    <row r="90" spans="2:7" x14ac:dyDescent="0.25">
      <c r="B90" t="str">
        <f>IF(COUNTIF('Pull Data'!B$2:B$1000, A90) &gt; 0, A90, "")</f>
        <v/>
      </c>
      <c r="C90" t="str">
        <f t="shared" si="2"/>
        <v/>
      </c>
      <c r="F90" t="str">
        <f>IF(COUNTIF('Pull Data'!C$2:C$1000, E90) &gt; 0, E90, "")</f>
        <v/>
      </c>
      <c r="G90" t="str">
        <f t="shared" si="3"/>
        <v/>
      </c>
    </row>
    <row r="91" spans="2:7" x14ac:dyDescent="0.25">
      <c r="B91" t="str">
        <f>IF(COUNTIF('Pull Data'!B$2:B$1000, A91) &gt; 0, A91, "")</f>
        <v/>
      </c>
      <c r="C91" t="str">
        <f t="shared" si="2"/>
        <v/>
      </c>
      <c r="F91" t="str">
        <f>IF(COUNTIF('Pull Data'!C$2:C$1000, E91) &gt; 0, E91, "")</f>
        <v/>
      </c>
      <c r="G91" t="str">
        <f t="shared" si="3"/>
        <v/>
      </c>
    </row>
    <row r="92" spans="2:7" x14ac:dyDescent="0.25">
      <c r="B92" t="str">
        <f>IF(COUNTIF('Pull Data'!B$2:B$1000, A92) &gt; 0, A92, "")</f>
        <v/>
      </c>
      <c r="C92" t="str">
        <f t="shared" si="2"/>
        <v/>
      </c>
      <c r="F92" t="str">
        <f>IF(COUNTIF('Pull Data'!C$2:C$1000, E92) &gt; 0, E92, "")</f>
        <v/>
      </c>
      <c r="G92" t="str">
        <f t="shared" si="3"/>
        <v/>
      </c>
    </row>
    <row r="93" spans="2:7" x14ac:dyDescent="0.25">
      <c r="B93" t="str">
        <f>IF(COUNTIF('Pull Data'!B$2:B$1000, A93) &gt; 0, A93, "")</f>
        <v/>
      </c>
      <c r="C93" t="str">
        <f t="shared" si="2"/>
        <v/>
      </c>
      <c r="F93" t="str">
        <f>IF(COUNTIF('Pull Data'!C$2:C$1000, E93) &gt; 0, E93, "")</f>
        <v/>
      </c>
      <c r="G93" t="str">
        <f t="shared" si="3"/>
        <v/>
      </c>
    </row>
    <row r="94" spans="2:7" x14ac:dyDescent="0.25">
      <c r="B94" t="str">
        <f>IF(COUNTIF('Pull Data'!B$2:B$1000, A94) &gt; 0, A94, "")</f>
        <v/>
      </c>
      <c r="C94" t="str">
        <f t="shared" si="2"/>
        <v/>
      </c>
      <c r="F94" t="str">
        <f>IF(COUNTIF('Pull Data'!C$2:C$1000, E94) &gt; 0, E94, "")</f>
        <v/>
      </c>
      <c r="G94" t="str">
        <f t="shared" si="3"/>
        <v/>
      </c>
    </row>
    <row r="95" spans="2:7" x14ac:dyDescent="0.25">
      <c r="B95" t="str">
        <f>IF(COUNTIF('Pull Data'!B$2:B$1000, A95) &gt; 0, A95, "")</f>
        <v/>
      </c>
      <c r="C95" t="str">
        <f t="shared" si="2"/>
        <v/>
      </c>
      <c r="F95" t="str">
        <f>IF(COUNTIF('Pull Data'!C$2:C$1000, E95) &gt; 0, E95, "")</f>
        <v/>
      </c>
      <c r="G95" t="str">
        <f t="shared" si="3"/>
        <v/>
      </c>
    </row>
    <row r="96" spans="2:7" x14ac:dyDescent="0.25">
      <c r="B96" t="str">
        <f>IF(COUNTIF('Pull Data'!B$2:B$1000, A96) &gt; 0, A96, "")</f>
        <v/>
      </c>
      <c r="C96" t="str">
        <f t="shared" si="2"/>
        <v/>
      </c>
      <c r="F96" t="str">
        <f>IF(COUNTIF('Pull Data'!C$2:C$1000, E96) &gt; 0, E96, "")</f>
        <v/>
      </c>
      <c r="G96" t="str">
        <f t="shared" si="3"/>
        <v/>
      </c>
    </row>
    <row r="97" spans="2:7" x14ac:dyDescent="0.25">
      <c r="B97" t="str">
        <f>IF(COUNTIF('Pull Data'!B$2:B$1000, A97) &gt; 0, A97, "")</f>
        <v/>
      </c>
      <c r="C97" t="str">
        <f t="shared" si="2"/>
        <v/>
      </c>
      <c r="F97" t="str">
        <f>IF(COUNTIF('Pull Data'!C$2:C$1000, E97) &gt; 0, E97, "")</f>
        <v/>
      </c>
      <c r="G97" t="str">
        <f t="shared" si="3"/>
        <v/>
      </c>
    </row>
    <row r="98" spans="2:7" x14ac:dyDescent="0.25">
      <c r="B98" t="str">
        <f>IF(COUNTIF('Pull Data'!B$2:B$1000, A98) &gt; 0, A98, "")</f>
        <v/>
      </c>
      <c r="C98" t="str">
        <f t="shared" si="2"/>
        <v/>
      </c>
      <c r="F98" t="str">
        <f>IF(COUNTIF('Pull Data'!C$2:C$1000, E98) &gt; 0, E98, "")</f>
        <v/>
      </c>
      <c r="G98" t="str">
        <f t="shared" si="3"/>
        <v/>
      </c>
    </row>
    <row r="99" spans="2:7" x14ac:dyDescent="0.25">
      <c r="B99" t="str">
        <f>IF(COUNTIF('Pull Data'!B$2:B$1000, A99) &gt; 0, A99, "")</f>
        <v/>
      </c>
      <c r="C99" t="str">
        <f t="shared" si="2"/>
        <v/>
      </c>
      <c r="F99" t="str">
        <f>IF(COUNTIF('Pull Data'!C$2:C$1000, E99) &gt; 0, E99, "")</f>
        <v/>
      </c>
      <c r="G99" t="str">
        <f t="shared" si="3"/>
        <v/>
      </c>
    </row>
    <row r="100" spans="2:7" x14ac:dyDescent="0.25">
      <c r="B100" t="str">
        <f>IF(COUNTIF('Pull Data'!B$2:B$1000, A100) &gt; 0, A100, "")</f>
        <v/>
      </c>
      <c r="C100" t="str">
        <f t="shared" si="2"/>
        <v/>
      </c>
      <c r="F100" t="str">
        <f>IF(COUNTIF('Pull Data'!C$2:C$1000, E100) &gt; 0, E100, "")</f>
        <v/>
      </c>
      <c r="G100" t="str">
        <f t="shared" si="3"/>
        <v/>
      </c>
    </row>
    <row r="101" spans="2:7" x14ac:dyDescent="0.25">
      <c r="B101" t="str">
        <f>IF(COUNTIF('Pull Data'!B$2:B$1000, A101) &gt; 0, A101, "")</f>
        <v/>
      </c>
      <c r="C101" t="str">
        <f t="shared" si="2"/>
        <v/>
      </c>
      <c r="F101" t="str">
        <f>IF(COUNTIF('Pull Data'!C$2:C$1000, E101) &gt; 0, E101, "")</f>
        <v/>
      </c>
      <c r="G101" t="str">
        <f t="shared" si="3"/>
        <v/>
      </c>
    </row>
    <row r="102" spans="2:7" x14ac:dyDescent="0.25">
      <c r="B102" t="str">
        <f>IF(COUNTIF('Pull Data'!B$2:B$1000, A102) &gt; 0, A102, "")</f>
        <v/>
      </c>
      <c r="C102" t="str">
        <f t="shared" si="2"/>
        <v/>
      </c>
      <c r="F102" t="str">
        <f>IF(COUNTIF('Pull Data'!C$2:C$1000, E102) &gt; 0, E102, "")</f>
        <v/>
      </c>
      <c r="G102" t="str">
        <f t="shared" si="3"/>
        <v/>
      </c>
    </row>
    <row r="103" spans="2:7" x14ac:dyDescent="0.25">
      <c r="B103" t="str">
        <f>IF(COUNTIF('Pull Data'!B$2:B$1000, A103) &gt; 0, A103, "")</f>
        <v/>
      </c>
      <c r="C103" t="str">
        <f t="shared" si="2"/>
        <v/>
      </c>
      <c r="F103" t="str">
        <f>IF(COUNTIF('Pull Data'!C$2:C$1000, E103) &gt; 0, E103, "")</f>
        <v/>
      </c>
      <c r="G103" t="str">
        <f t="shared" si="3"/>
        <v/>
      </c>
    </row>
    <row r="104" spans="2:7" x14ac:dyDescent="0.25">
      <c r="B104" t="str">
        <f>IF(COUNTIF('Pull Data'!B$2:B$1000, A104) &gt; 0, A104, "")</f>
        <v/>
      </c>
      <c r="C104" t="str">
        <f t="shared" si="2"/>
        <v/>
      </c>
      <c r="F104" t="str">
        <f>IF(COUNTIF('Pull Data'!C$2:C$1000, E104) &gt; 0, E104, "")</f>
        <v/>
      </c>
      <c r="G104" t="str">
        <f t="shared" si="3"/>
        <v/>
      </c>
    </row>
    <row r="105" spans="2:7" x14ac:dyDescent="0.25">
      <c r="B105" t="str">
        <f>IF(COUNTIF('Pull Data'!B$2:B$1000, A105) &gt; 0, A105, "")</f>
        <v/>
      </c>
      <c r="C105" t="str">
        <f t="shared" si="2"/>
        <v/>
      </c>
      <c r="F105" t="str">
        <f>IF(COUNTIF('Pull Data'!C$2:C$1000, E105) &gt; 0, E105, "")</f>
        <v/>
      </c>
      <c r="G105" t="str">
        <f t="shared" si="3"/>
        <v/>
      </c>
    </row>
    <row r="106" spans="2:7" x14ac:dyDescent="0.25">
      <c r="B106" t="str">
        <f>IF(COUNTIF('Pull Data'!B$2:B$1000, A106) &gt; 0, A106, "")</f>
        <v/>
      </c>
      <c r="C106" t="str">
        <f t="shared" si="2"/>
        <v/>
      </c>
      <c r="F106" t="str">
        <f>IF(COUNTIF('Pull Data'!C$2:C$1000, E106) &gt; 0, E106, "")</f>
        <v/>
      </c>
      <c r="G106" t="str">
        <f t="shared" si="3"/>
        <v/>
      </c>
    </row>
    <row r="107" spans="2:7" x14ac:dyDescent="0.25">
      <c r="B107" t="str">
        <f>IF(COUNTIF('Pull Data'!B$2:B$1000, A107) &gt; 0, A107, "")</f>
        <v/>
      </c>
      <c r="C107" t="str">
        <f t="shared" si="2"/>
        <v/>
      </c>
      <c r="F107" t="str">
        <f>IF(COUNTIF('Pull Data'!C$2:C$1000, E107) &gt; 0, E107, "")</f>
        <v/>
      </c>
      <c r="G107" t="str">
        <f t="shared" si="3"/>
        <v/>
      </c>
    </row>
    <row r="108" spans="2:7" x14ac:dyDescent="0.25">
      <c r="B108" t="str">
        <f>IF(COUNTIF('Pull Data'!B$2:B$1000, A108) &gt; 0, A108, "")</f>
        <v/>
      </c>
      <c r="C108" t="str">
        <f t="shared" si="2"/>
        <v/>
      </c>
      <c r="F108" t="str">
        <f>IF(COUNTIF('Pull Data'!C$2:C$1000, E108) &gt; 0, E108, "")</f>
        <v/>
      </c>
      <c r="G108" t="str">
        <f t="shared" si="3"/>
        <v/>
      </c>
    </row>
    <row r="109" spans="2:7" x14ac:dyDescent="0.25">
      <c r="B109" t="str">
        <f>IF(COUNTIF('Pull Data'!B$2:B$1000, A109) &gt; 0, A109, "")</f>
        <v/>
      </c>
      <c r="C109" t="str">
        <f t="shared" si="2"/>
        <v/>
      </c>
      <c r="F109" t="str">
        <f>IF(COUNTIF('Pull Data'!C$2:C$1000, E109) &gt; 0, E109, "")</f>
        <v/>
      </c>
      <c r="G109" t="str">
        <f t="shared" si="3"/>
        <v/>
      </c>
    </row>
    <row r="110" spans="2:7" x14ac:dyDescent="0.25">
      <c r="B110" t="str">
        <f>IF(COUNTIF('Pull Data'!B$2:B$1000, A110) &gt; 0, A110, "")</f>
        <v/>
      </c>
      <c r="C110" t="str">
        <f t="shared" si="2"/>
        <v/>
      </c>
      <c r="F110" t="str">
        <f>IF(COUNTIF('Pull Data'!C$2:C$1000, E110) &gt; 0, E110, "")</f>
        <v/>
      </c>
      <c r="G110" t="str">
        <f t="shared" si="3"/>
        <v/>
      </c>
    </row>
    <row r="111" spans="2:7" x14ac:dyDescent="0.25">
      <c r="B111" t="str">
        <f>IF(COUNTIF('Pull Data'!B$2:B$1000, A111) &gt; 0, A111, "")</f>
        <v/>
      </c>
      <c r="C111" t="str">
        <f t="shared" si="2"/>
        <v/>
      </c>
      <c r="F111" t="str">
        <f>IF(COUNTIF('Pull Data'!C$2:C$1000, E111) &gt; 0, E111, "")</f>
        <v/>
      </c>
      <c r="G111" t="str">
        <f t="shared" si="3"/>
        <v/>
      </c>
    </row>
    <row r="112" spans="2:7" x14ac:dyDescent="0.25">
      <c r="B112" t="str">
        <f>IF(COUNTIF('Pull Data'!B$2:B$1000, A112) &gt; 0, A112, "")</f>
        <v/>
      </c>
      <c r="C112" t="str">
        <f t="shared" si="2"/>
        <v/>
      </c>
      <c r="F112" t="str">
        <f>IF(COUNTIF('Pull Data'!C$2:C$1000, E112) &gt; 0, E112, "")</f>
        <v/>
      </c>
      <c r="G112" t="str">
        <f t="shared" si="3"/>
        <v/>
      </c>
    </row>
    <row r="113" spans="2:7" x14ac:dyDescent="0.25">
      <c r="B113" t="str">
        <f>IF(COUNTIF('Pull Data'!B$2:B$1000, A113) &gt; 0, A113, "")</f>
        <v/>
      </c>
      <c r="C113" t="str">
        <f t="shared" si="2"/>
        <v/>
      </c>
      <c r="F113" t="str">
        <f>IF(COUNTIF('Pull Data'!C$2:C$1000, E113) &gt; 0, E113, "")</f>
        <v/>
      </c>
      <c r="G113" t="str">
        <f t="shared" si="3"/>
        <v/>
      </c>
    </row>
    <row r="114" spans="2:7" x14ac:dyDescent="0.25">
      <c r="B114" t="str">
        <f>IF(COUNTIF('Pull Data'!B$2:B$1000, A114) &gt; 0, A114, "")</f>
        <v/>
      </c>
      <c r="C114" t="str">
        <f t="shared" si="2"/>
        <v/>
      </c>
      <c r="F114" t="str">
        <f>IF(COUNTIF('Pull Data'!C$2:C$1000, E114) &gt; 0, E114, "")</f>
        <v/>
      </c>
      <c r="G114" t="str">
        <f t="shared" si="3"/>
        <v/>
      </c>
    </row>
    <row r="115" spans="2:7" x14ac:dyDescent="0.25">
      <c r="B115" t="str">
        <f>IF(COUNTIF('Pull Data'!B$2:B$1000, A115) &gt; 0, A115, "")</f>
        <v/>
      </c>
      <c r="C115" t="str">
        <f t="shared" si="2"/>
        <v/>
      </c>
      <c r="F115" t="str">
        <f>IF(COUNTIF('Pull Data'!C$2:C$1000, E115) &gt; 0, E115, "")</f>
        <v/>
      </c>
      <c r="G115" t="str">
        <f t="shared" si="3"/>
        <v/>
      </c>
    </row>
    <row r="116" spans="2:7" x14ac:dyDescent="0.25">
      <c r="B116" t="str">
        <f>IF(COUNTIF('Pull Data'!B$2:B$1000, A116) &gt; 0, A116, "")</f>
        <v/>
      </c>
      <c r="C116" t="str">
        <f t="shared" si="2"/>
        <v/>
      </c>
      <c r="F116" t="str">
        <f>IF(COUNTIF('Pull Data'!C$2:C$1000, E116) &gt; 0, E116, "")</f>
        <v/>
      </c>
      <c r="G116" t="str">
        <f t="shared" si="3"/>
        <v/>
      </c>
    </row>
    <row r="117" spans="2:7" x14ac:dyDescent="0.25">
      <c r="B117" t="str">
        <f>IF(COUNTIF('Pull Data'!B$2:B$1000, A117) &gt; 0, A117, "")</f>
        <v/>
      </c>
      <c r="C117" t="str">
        <f t="shared" si="2"/>
        <v/>
      </c>
      <c r="F117" t="str">
        <f>IF(COUNTIF('Pull Data'!C$2:C$1000, E117) &gt; 0, E117, "")</f>
        <v/>
      </c>
      <c r="G117" t="str">
        <f t="shared" si="3"/>
        <v/>
      </c>
    </row>
    <row r="118" spans="2:7" x14ac:dyDescent="0.25">
      <c r="B118" t="str">
        <f>IF(COUNTIF('Pull Data'!B$2:B$1000, A118) &gt; 0, A118, "")</f>
        <v/>
      </c>
      <c r="C118" t="str">
        <f t="shared" si="2"/>
        <v/>
      </c>
      <c r="F118" t="str">
        <f>IF(COUNTIF('Pull Data'!C$2:C$1000, E118) &gt; 0, E118, "")</f>
        <v/>
      </c>
      <c r="G118" t="str">
        <f t="shared" si="3"/>
        <v/>
      </c>
    </row>
    <row r="119" spans="2:7" x14ac:dyDescent="0.25">
      <c r="B119" t="str">
        <f>IF(COUNTIF('Pull Data'!B$2:B$1000, A119) &gt; 0, A119, "")</f>
        <v/>
      </c>
      <c r="C119" t="str">
        <f t="shared" si="2"/>
        <v/>
      </c>
      <c r="F119" t="str">
        <f>IF(COUNTIF('Pull Data'!C$2:C$1000, E119) &gt; 0, E119, "")</f>
        <v/>
      </c>
      <c r="G119" t="str">
        <f t="shared" si="3"/>
        <v/>
      </c>
    </row>
    <row r="120" spans="2:7" x14ac:dyDescent="0.25">
      <c r="B120" t="str">
        <f>IF(COUNTIF('Pull Data'!B$2:B$1000, A120) &gt; 0, A120, "")</f>
        <v/>
      </c>
      <c r="C120" t="str">
        <f t="shared" si="2"/>
        <v/>
      </c>
      <c r="F120" t="str">
        <f>IF(COUNTIF('Pull Data'!C$2:C$1000, E120) &gt; 0, E120, "")</f>
        <v/>
      </c>
      <c r="G120" t="str">
        <f t="shared" si="3"/>
        <v/>
      </c>
    </row>
    <row r="121" spans="2:7" x14ac:dyDescent="0.25">
      <c r="B121" t="str">
        <f>IF(COUNTIF('Pull Data'!B$2:B$1000, A121) &gt; 0, A121, "")</f>
        <v/>
      </c>
      <c r="C121" t="str">
        <f t="shared" si="2"/>
        <v/>
      </c>
      <c r="F121" t="str">
        <f>IF(COUNTIF('Pull Data'!C$2:C$1000, E121) &gt; 0, E121, "")</f>
        <v/>
      </c>
      <c r="G121" t="str">
        <f t="shared" si="3"/>
        <v/>
      </c>
    </row>
    <row r="122" spans="2:7" x14ac:dyDescent="0.25">
      <c r="B122" t="str">
        <f>IF(COUNTIF('Pull Data'!B$2:B$1000, A122) &gt; 0, A122, "")</f>
        <v/>
      </c>
      <c r="C122" t="str">
        <f t="shared" si="2"/>
        <v/>
      </c>
      <c r="F122" t="str">
        <f>IF(COUNTIF('Pull Data'!C$2:C$1000, E122) &gt; 0, E122, "")</f>
        <v/>
      </c>
      <c r="G122" t="str">
        <f t="shared" si="3"/>
        <v/>
      </c>
    </row>
    <row r="123" spans="2:7" x14ac:dyDescent="0.25">
      <c r="B123" t="str">
        <f>IF(COUNTIF('Pull Data'!B$2:B$1000, A123) &gt; 0, A123, "")</f>
        <v/>
      </c>
      <c r="C123" t="str">
        <f t="shared" si="2"/>
        <v/>
      </c>
      <c r="F123" t="str">
        <f>IF(COUNTIF('Pull Data'!C$2:C$1000, E123) &gt; 0, E123, "")</f>
        <v/>
      </c>
      <c r="G123" t="str">
        <f t="shared" si="3"/>
        <v/>
      </c>
    </row>
    <row r="124" spans="2:7" x14ac:dyDescent="0.25">
      <c r="B124" t="str">
        <f>IF(COUNTIF('Pull Data'!B$2:B$1000, A124) &gt; 0, A124, "")</f>
        <v/>
      </c>
      <c r="C124" t="str">
        <f t="shared" si="2"/>
        <v/>
      </c>
      <c r="F124" t="str">
        <f>IF(COUNTIF('Pull Data'!C$2:C$1000, E124) &gt; 0, E124, "")</f>
        <v/>
      </c>
      <c r="G124" t="str">
        <f t="shared" si="3"/>
        <v/>
      </c>
    </row>
    <row r="125" spans="2:7" x14ac:dyDescent="0.25">
      <c r="B125" t="str">
        <f>IF(COUNTIF('Pull Data'!B$2:B$1000, A125) &gt; 0, A125, "")</f>
        <v/>
      </c>
      <c r="C125" t="str">
        <f t="shared" si="2"/>
        <v/>
      </c>
      <c r="F125" t="str">
        <f>IF(COUNTIF('Pull Data'!C$2:C$1000, E125) &gt; 0, E125, "")</f>
        <v/>
      </c>
      <c r="G125" t="str">
        <f t="shared" si="3"/>
        <v/>
      </c>
    </row>
    <row r="126" spans="2:7" x14ac:dyDescent="0.25">
      <c r="B126" t="str">
        <f>IF(COUNTIF('Pull Data'!B$2:B$1000, A126) &gt; 0, A126, "")</f>
        <v/>
      </c>
      <c r="C126" t="str">
        <f t="shared" si="2"/>
        <v/>
      </c>
      <c r="F126" t="str">
        <f>IF(COUNTIF('Pull Data'!C$2:C$1000, E126) &gt; 0, E126, "")</f>
        <v/>
      </c>
      <c r="G126" t="str">
        <f t="shared" si="3"/>
        <v/>
      </c>
    </row>
    <row r="127" spans="2:7" x14ac:dyDescent="0.25">
      <c r="B127" t="str">
        <f>IF(COUNTIF('Pull Data'!B$2:B$1000, A127) &gt; 0, A127, "")</f>
        <v/>
      </c>
      <c r="C127" t="str">
        <f t="shared" si="2"/>
        <v/>
      </c>
      <c r="F127" t="str">
        <f>IF(COUNTIF('Pull Data'!C$2:C$1000, E127) &gt; 0, E127, "")</f>
        <v/>
      </c>
      <c r="G127" t="str">
        <f t="shared" si="3"/>
        <v/>
      </c>
    </row>
    <row r="128" spans="2:7" x14ac:dyDescent="0.25">
      <c r="B128" t="str">
        <f>IF(COUNTIF('Pull Data'!B$2:B$1000, A128) &gt; 0, A128, "")</f>
        <v/>
      </c>
      <c r="C128" t="str">
        <f t="shared" si="2"/>
        <v/>
      </c>
      <c r="F128" t="str">
        <f>IF(COUNTIF('Pull Data'!C$2:C$1000, E128) &gt; 0, E128, "")</f>
        <v/>
      </c>
      <c r="G128" t="str">
        <f t="shared" si="3"/>
        <v/>
      </c>
    </row>
    <row r="129" spans="2:7" x14ac:dyDescent="0.25">
      <c r="B129" t="str">
        <f>IF(COUNTIF('Pull Data'!B$2:B$1000, A129) &gt; 0, A129, "")</f>
        <v/>
      </c>
      <c r="C129" t="str">
        <f t="shared" si="2"/>
        <v/>
      </c>
      <c r="F129" t="str">
        <f>IF(COUNTIF('Pull Data'!C$2:C$1000, E129) &gt; 0, E129, "")</f>
        <v/>
      </c>
      <c r="G129" t="str">
        <f t="shared" si="3"/>
        <v/>
      </c>
    </row>
    <row r="130" spans="2:7" x14ac:dyDescent="0.25">
      <c r="B130" t="str">
        <f>IF(COUNTIF('Pull Data'!B$2:B$1000, A130) &gt; 0, A130, "")</f>
        <v/>
      </c>
      <c r="C130" t="str">
        <f t="shared" si="2"/>
        <v/>
      </c>
      <c r="F130" t="str">
        <f>IF(COUNTIF('Pull Data'!C$2:C$1000, E130) &gt; 0, E130, "")</f>
        <v/>
      </c>
      <c r="G130" t="str">
        <f t="shared" si="3"/>
        <v/>
      </c>
    </row>
    <row r="131" spans="2:7" x14ac:dyDescent="0.25">
      <c r="B131" t="str">
        <f>IF(COUNTIF('Pull Data'!B$2:B$1000, A131) &gt; 0, A131, "")</f>
        <v/>
      </c>
      <c r="C131" t="str">
        <f t="shared" ref="C131:C194" si="4">IF(AND(A131="", B131=""), "", IF(A131&lt;&gt;B131, "Custodian Does Not Appear in Data", "Custodian Appears in Data"))</f>
        <v/>
      </c>
      <c r="F131" t="str">
        <f>IF(COUNTIF('Pull Data'!C$2:C$1000, E131) &gt; 0, E131, "")</f>
        <v/>
      </c>
      <c r="G131" t="str">
        <f t="shared" ref="G131:G194" si="5">IF(AND(E131="", F131=""), "", IF(E131&lt;&gt;F131, "c/o Does Not Appear in Data", "c/o Appears in Data"))</f>
        <v/>
      </c>
    </row>
    <row r="132" spans="2:7" x14ac:dyDescent="0.25">
      <c r="B132" t="str">
        <f>IF(COUNTIF('Pull Data'!B$2:B$1000, A132) &gt; 0, A132, "")</f>
        <v/>
      </c>
      <c r="C132" t="str">
        <f t="shared" si="4"/>
        <v/>
      </c>
      <c r="F132" t="str">
        <f>IF(COUNTIF('Pull Data'!C$2:C$1000, E132) &gt; 0, E132, "")</f>
        <v/>
      </c>
      <c r="G132" t="str">
        <f t="shared" si="5"/>
        <v/>
      </c>
    </row>
    <row r="133" spans="2:7" x14ac:dyDescent="0.25">
      <c r="B133" t="str">
        <f>IF(COUNTIF('Pull Data'!B$2:B$1000, A133) &gt; 0, A133, "")</f>
        <v/>
      </c>
      <c r="C133" t="str">
        <f t="shared" si="4"/>
        <v/>
      </c>
      <c r="F133" t="str">
        <f>IF(COUNTIF('Pull Data'!C$2:C$1000, E133) &gt; 0, E133, "")</f>
        <v/>
      </c>
      <c r="G133" t="str">
        <f t="shared" si="5"/>
        <v/>
      </c>
    </row>
    <row r="134" spans="2:7" x14ac:dyDescent="0.25">
      <c r="B134" t="str">
        <f>IF(COUNTIF('Pull Data'!B$2:B$1000, A134) &gt; 0, A134, "")</f>
        <v/>
      </c>
      <c r="C134" t="str">
        <f t="shared" si="4"/>
        <v/>
      </c>
      <c r="F134" t="str">
        <f>IF(COUNTIF('Pull Data'!C$2:C$1000, E134) &gt; 0, E134, "")</f>
        <v/>
      </c>
      <c r="G134" t="str">
        <f t="shared" si="5"/>
        <v/>
      </c>
    </row>
    <row r="135" spans="2:7" x14ac:dyDescent="0.25">
      <c r="B135" t="str">
        <f>IF(COUNTIF('Pull Data'!B$2:B$1000, A135) &gt; 0, A135, "")</f>
        <v/>
      </c>
      <c r="C135" t="str">
        <f t="shared" si="4"/>
        <v/>
      </c>
      <c r="F135" t="str">
        <f>IF(COUNTIF('Pull Data'!C$2:C$1000, E135) &gt; 0, E135, "")</f>
        <v/>
      </c>
      <c r="G135" t="str">
        <f t="shared" si="5"/>
        <v/>
      </c>
    </row>
    <row r="136" spans="2:7" x14ac:dyDescent="0.25">
      <c r="B136" t="str">
        <f>IF(COUNTIF('Pull Data'!B$2:B$1000, A136) &gt; 0, A136, "")</f>
        <v/>
      </c>
      <c r="C136" t="str">
        <f t="shared" si="4"/>
        <v/>
      </c>
      <c r="F136" t="str">
        <f>IF(COUNTIF('Pull Data'!C$2:C$1000, E136) &gt; 0, E136, "")</f>
        <v/>
      </c>
      <c r="G136" t="str">
        <f t="shared" si="5"/>
        <v/>
      </c>
    </row>
    <row r="137" spans="2:7" x14ac:dyDescent="0.25">
      <c r="B137" t="str">
        <f>IF(COUNTIF('Pull Data'!B$2:B$1000, A137) &gt; 0, A137, "")</f>
        <v/>
      </c>
      <c r="C137" t="str">
        <f t="shared" si="4"/>
        <v/>
      </c>
      <c r="F137" t="str">
        <f>IF(COUNTIF('Pull Data'!C$2:C$1000, E137) &gt; 0, E137, "")</f>
        <v/>
      </c>
      <c r="G137" t="str">
        <f t="shared" si="5"/>
        <v/>
      </c>
    </row>
    <row r="138" spans="2:7" x14ac:dyDescent="0.25">
      <c r="B138" t="str">
        <f>IF(COUNTIF('Pull Data'!B$2:B$1000, A138) &gt; 0, A138, "")</f>
        <v/>
      </c>
      <c r="C138" t="str">
        <f t="shared" si="4"/>
        <v/>
      </c>
      <c r="F138" t="str">
        <f>IF(COUNTIF('Pull Data'!C$2:C$1000, E138) &gt; 0, E138, "")</f>
        <v/>
      </c>
      <c r="G138" t="str">
        <f t="shared" si="5"/>
        <v/>
      </c>
    </row>
    <row r="139" spans="2:7" x14ac:dyDescent="0.25">
      <c r="B139" t="str">
        <f>IF(COUNTIF('Pull Data'!B$2:B$1000, A139) &gt; 0, A139, "")</f>
        <v/>
      </c>
      <c r="C139" t="str">
        <f t="shared" si="4"/>
        <v/>
      </c>
      <c r="F139" t="str">
        <f>IF(COUNTIF('Pull Data'!C$2:C$1000, E139) &gt; 0, E139, "")</f>
        <v/>
      </c>
      <c r="G139" t="str">
        <f t="shared" si="5"/>
        <v/>
      </c>
    </row>
    <row r="140" spans="2:7" x14ac:dyDescent="0.25">
      <c r="B140" t="str">
        <f>IF(COUNTIF('Pull Data'!B$2:B$1000, A140) &gt; 0, A140, "")</f>
        <v/>
      </c>
      <c r="C140" t="str">
        <f t="shared" si="4"/>
        <v/>
      </c>
      <c r="F140" t="str">
        <f>IF(COUNTIF('Pull Data'!C$2:C$1000, E140) &gt; 0, E140, "")</f>
        <v/>
      </c>
      <c r="G140" t="str">
        <f t="shared" si="5"/>
        <v/>
      </c>
    </row>
    <row r="141" spans="2:7" x14ac:dyDescent="0.25">
      <c r="B141" t="str">
        <f>IF(COUNTIF('Pull Data'!B$2:B$1000, A141) &gt; 0, A141, "")</f>
        <v/>
      </c>
      <c r="C141" t="str">
        <f t="shared" si="4"/>
        <v/>
      </c>
      <c r="F141" t="str">
        <f>IF(COUNTIF('Pull Data'!C$2:C$1000, E141) &gt; 0, E141, "")</f>
        <v/>
      </c>
      <c r="G141" t="str">
        <f t="shared" si="5"/>
        <v/>
      </c>
    </row>
    <row r="142" spans="2:7" x14ac:dyDescent="0.25">
      <c r="B142" t="str">
        <f>IF(COUNTIF('Pull Data'!B$2:B$1000, A142) &gt; 0, A142, "")</f>
        <v/>
      </c>
      <c r="C142" t="str">
        <f t="shared" si="4"/>
        <v/>
      </c>
      <c r="F142" t="str">
        <f>IF(COUNTIF('Pull Data'!C$2:C$1000, E142) &gt; 0, E142, "")</f>
        <v/>
      </c>
      <c r="G142" t="str">
        <f t="shared" si="5"/>
        <v/>
      </c>
    </row>
    <row r="143" spans="2:7" x14ac:dyDescent="0.25">
      <c r="B143" t="str">
        <f>IF(COUNTIF('Pull Data'!B$2:B$1000, A143) &gt; 0, A143, "")</f>
        <v/>
      </c>
      <c r="C143" t="str">
        <f t="shared" si="4"/>
        <v/>
      </c>
      <c r="F143" t="str">
        <f>IF(COUNTIF('Pull Data'!C$2:C$1000, E143) &gt; 0, E143, "")</f>
        <v/>
      </c>
      <c r="G143" t="str">
        <f t="shared" si="5"/>
        <v/>
      </c>
    </row>
    <row r="144" spans="2:7" x14ac:dyDescent="0.25">
      <c r="B144" t="str">
        <f>IF(COUNTIF('Pull Data'!B$2:B$1000, A144) &gt; 0, A144, "")</f>
        <v/>
      </c>
      <c r="C144" t="str">
        <f t="shared" si="4"/>
        <v/>
      </c>
      <c r="F144" t="str">
        <f>IF(COUNTIF('Pull Data'!C$2:C$1000, E144) &gt; 0, E144, "")</f>
        <v/>
      </c>
      <c r="G144" t="str">
        <f t="shared" si="5"/>
        <v/>
      </c>
    </row>
    <row r="145" spans="2:7" x14ac:dyDescent="0.25">
      <c r="B145" t="str">
        <f>IF(COUNTIF('Pull Data'!B$2:B$1000, A145) &gt; 0, A145, "")</f>
        <v/>
      </c>
      <c r="C145" t="str">
        <f t="shared" si="4"/>
        <v/>
      </c>
      <c r="F145" t="str">
        <f>IF(COUNTIF('Pull Data'!C$2:C$1000, E145) &gt; 0, E145, "")</f>
        <v/>
      </c>
      <c r="G145" t="str">
        <f t="shared" si="5"/>
        <v/>
      </c>
    </row>
    <row r="146" spans="2:7" x14ac:dyDescent="0.25">
      <c r="B146" t="str">
        <f>IF(COUNTIF('Pull Data'!B$2:B$1000, A146) &gt; 0, A146, "")</f>
        <v/>
      </c>
      <c r="C146" t="str">
        <f t="shared" si="4"/>
        <v/>
      </c>
      <c r="F146" t="str">
        <f>IF(COUNTIF('Pull Data'!C$2:C$1000, E146) &gt; 0, E146, "")</f>
        <v/>
      </c>
      <c r="G146" t="str">
        <f t="shared" si="5"/>
        <v/>
      </c>
    </row>
    <row r="147" spans="2:7" x14ac:dyDescent="0.25">
      <c r="B147" t="str">
        <f>IF(COUNTIF('Pull Data'!B$2:B$1000, A147) &gt; 0, A147, "")</f>
        <v/>
      </c>
      <c r="C147" t="str">
        <f t="shared" si="4"/>
        <v/>
      </c>
      <c r="F147" t="str">
        <f>IF(COUNTIF('Pull Data'!C$2:C$1000, E147) &gt; 0, E147, "")</f>
        <v/>
      </c>
      <c r="G147" t="str">
        <f t="shared" si="5"/>
        <v/>
      </c>
    </row>
    <row r="148" spans="2:7" x14ac:dyDescent="0.25">
      <c r="B148" t="str">
        <f>IF(COUNTIF('Pull Data'!B$2:B$1000, A148) &gt; 0, A148, "")</f>
        <v/>
      </c>
      <c r="C148" t="str">
        <f t="shared" si="4"/>
        <v/>
      </c>
      <c r="F148" t="str">
        <f>IF(COUNTIF('Pull Data'!C$2:C$1000, E148) &gt; 0, E148, "")</f>
        <v/>
      </c>
      <c r="G148" t="str">
        <f t="shared" si="5"/>
        <v/>
      </c>
    </row>
    <row r="149" spans="2:7" x14ac:dyDescent="0.25">
      <c r="B149" t="str">
        <f>IF(COUNTIF('Pull Data'!B$2:B$1000, A149) &gt; 0, A149, "")</f>
        <v/>
      </c>
      <c r="C149" t="str">
        <f t="shared" si="4"/>
        <v/>
      </c>
      <c r="F149" t="str">
        <f>IF(COUNTIF('Pull Data'!C$2:C$1000, E149) &gt; 0, E149, "")</f>
        <v/>
      </c>
      <c r="G149" t="str">
        <f t="shared" si="5"/>
        <v/>
      </c>
    </row>
    <row r="150" spans="2:7" x14ac:dyDescent="0.25">
      <c r="B150" t="str">
        <f>IF(COUNTIF('Pull Data'!B$2:B$1000, A150) &gt; 0, A150, "")</f>
        <v/>
      </c>
      <c r="C150" t="str">
        <f t="shared" si="4"/>
        <v/>
      </c>
      <c r="F150" t="str">
        <f>IF(COUNTIF('Pull Data'!C$2:C$1000, E150) &gt; 0, E150, "")</f>
        <v/>
      </c>
      <c r="G150" t="str">
        <f t="shared" si="5"/>
        <v/>
      </c>
    </row>
    <row r="151" spans="2:7" x14ac:dyDescent="0.25">
      <c r="B151" t="str">
        <f>IF(COUNTIF('Pull Data'!B$2:B$1000, A151) &gt; 0, A151, "")</f>
        <v/>
      </c>
      <c r="C151" t="str">
        <f t="shared" si="4"/>
        <v/>
      </c>
      <c r="F151" t="str">
        <f>IF(COUNTIF('Pull Data'!C$2:C$1000, E151) &gt; 0, E151, "")</f>
        <v/>
      </c>
      <c r="G151" t="str">
        <f t="shared" si="5"/>
        <v/>
      </c>
    </row>
    <row r="152" spans="2:7" x14ac:dyDescent="0.25">
      <c r="B152" t="str">
        <f>IF(COUNTIF('Pull Data'!B$2:B$1000, A152) &gt; 0, A152, "")</f>
        <v/>
      </c>
      <c r="C152" t="str">
        <f t="shared" si="4"/>
        <v/>
      </c>
      <c r="F152" t="str">
        <f>IF(COUNTIF('Pull Data'!C$2:C$1000, E152) &gt; 0, E152, "")</f>
        <v/>
      </c>
      <c r="G152" t="str">
        <f t="shared" si="5"/>
        <v/>
      </c>
    </row>
    <row r="153" spans="2:7" x14ac:dyDescent="0.25">
      <c r="B153" t="str">
        <f>IF(COUNTIF('Pull Data'!B$2:B$1000, A153) &gt; 0, A153, "")</f>
        <v/>
      </c>
      <c r="C153" t="str">
        <f t="shared" si="4"/>
        <v/>
      </c>
      <c r="F153" t="str">
        <f>IF(COUNTIF('Pull Data'!C$2:C$1000, E153) &gt; 0, E153, "")</f>
        <v/>
      </c>
      <c r="G153" t="str">
        <f t="shared" si="5"/>
        <v/>
      </c>
    </row>
    <row r="154" spans="2:7" x14ac:dyDescent="0.25">
      <c r="B154" t="str">
        <f>IF(COUNTIF('Pull Data'!B$2:B$1000, A154) &gt; 0, A154, "")</f>
        <v/>
      </c>
      <c r="C154" t="str">
        <f t="shared" si="4"/>
        <v/>
      </c>
      <c r="F154" t="str">
        <f>IF(COUNTIF('Pull Data'!C$2:C$1000, E154) &gt; 0, E154, "")</f>
        <v/>
      </c>
      <c r="G154" t="str">
        <f t="shared" si="5"/>
        <v/>
      </c>
    </row>
    <row r="155" spans="2:7" x14ac:dyDescent="0.25">
      <c r="B155" t="str">
        <f>IF(COUNTIF('Pull Data'!B$2:B$1000, A155) &gt; 0, A155, "")</f>
        <v/>
      </c>
      <c r="C155" t="str">
        <f t="shared" si="4"/>
        <v/>
      </c>
      <c r="F155" t="str">
        <f>IF(COUNTIF('Pull Data'!C$2:C$1000, E155) &gt; 0, E155, "")</f>
        <v/>
      </c>
      <c r="G155" t="str">
        <f t="shared" si="5"/>
        <v/>
      </c>
    </row>
    <row r="156" spans="2:7" x14ac:dyDescent="0.25">
      <c r="B156" t="str">
        <f>IF(COUNTIF('Pull Data'!B$2:B$1000, A156) &gt; 0, A156, "")</f>
        <v/>
      </c>
      <c r="C156" t="str">
        <f t="shared" si="4"/>
        <v/>
      </c>
      <c r="F156" t="str">
        <f>IF(COUNTIF('Pull Data'!C$2:C$1000, E156) &gt; 0, E156, "")</f>
        <v/>
      </c>
      <c r="G156" t="str">
        <f t="shared" si="5"/>
        <v/>
      </c>
    </row>
    <row r="157" spans="2:7" x14ac:dyDescent="0.25">
      <c r="B157" t="str">
        <f>IF(COUNTIF('Pull Data'!B$2:B$1000, A157) &gt; 0, A157, "")</f>
        <v/>
      </c>
      <c r="C157" t="str">
        <f t="shared" si="4"/>
        <v/>
      </c>
      <c r="F157" t="str">
        <f>IF(COUNTIF('Pull Data'!C$2:C$1000, E157) &gt; 0, E157, "")</f>
        <v/>
      </c>
      <c r="G157" t="str">
        <f t="shared" si="5"/>
        <v/>
      </c>
    </row>
    <row r="158" spans="2:7" x14ac:dyDescent="0.25">
      <c r="B158" t="str">
        <f>IF(COUNTIF('Pull Data'!B$2:B$1000, A158) &gt; 0, A158, "")</f>
        <v/>
      </c>
      <c r="C158" t="str">
        <f t="shared" si="4"/>
        <v/>
      </c>
      <c r="F158" t="str">
        <f>IF(COUNTIF('Pull Data'!C$2:C$1000, E158) &gt; 0, E158, "")</f>
        <v/>
      </c>
      <c r="G158" t="str">
        <f t="shared" si="5"/>
        <v/>
      </c>
    </row>
    <row r="159" spans="2:7" x14ac:dyDescent="0.25">
      <c r="B159" t="str">
        <f>IF(COUNTIF('Pull Data'!B$2:B$1000, A159) &gt; 0, A159, "")</f>
        <v/>
      </c>
      <c r="C159" t="str">
        <f t="shared" si="4"/>
        <v/>
      </c>
      <c r="F159" t="str">
        <f>IF(COUNTIF('Pull Data'!C$2:C$1000, E159) &gt; 0, E159, "")</f>
        <v/>
      </c>
      <c r="G159" t="str">
        <f t="shared" si="5"/>
        <v/>
      </c>
    </row>
    <row r="160" spans="2:7" x14ac:dyDescent="0.25">
      <c r="B160" t="str">
        <f>IF(COUNTIF('Pull Data'!B$2:B$1000, A160) &gt; 0, A160, "")</f>
        <v/>
      </c>
      <c r="C160" t="str">
        <f t="shared" si="4"/>
        <v/>
      </c>
      <c r="F160" t="str">
        <f>IF(COUNTIF('Pull Data'!C$2:C$1000, E160) &gt; 0, E160, "")</f>
        <v/>
      </c>
      <c r="G160" t="str">
        <f t="shared" si="5"/>
        <v/>
      </c>
    </row>
    <row r="161" spans="2:7" x14ac:dyDescent="0.25">
      <c r="B161" t="str">
        <f>IF(COUNTIF('Pull Data'!B$2:B$1000, A161) &gt; 0, A161, "")</f>
        <v/>
      </c>
      <c r="C161" t="str">
        <f t="shared" si="4"/>
        <v/>
      </c>
      <c r="F161" t="str">
        <f>IF(COUNTIF('Pull Data'!C$2:C$1000, E161) &gt; 0, E161, "")</f>
        <v/>
      </c>
      <c r="G161" t="str">
        <f t="shared" si="5"/>
        <v/>
      </c>
    </row>
    <row r="162" spans="2:7" x14ac:dyDescent="0.25">
      <c r="B162" t="str">
        <f>IF(COUNTIF('Pull Data'!B$2:B$1000, A162) &gt; 0, A162, "")</f>
        <v/>
      </c>
      <c r="C162" t="str">
        <f t="shared" si="4"/>
        <v/>
      </c>
      <c r="F162" t="str">
        <f>IF(COUNTIF('Pull Data'!C$2:C$1000, E162) &gt; 0, E162, "")</f>
        <v/>
      </c>
      <c r="G162" t="str">
        <f t="shared" si="5"/>
        <v/>
      </c>
    </row>
    <row r="163" spans="2:7" x14ac:dyDescent="0.25">
      <c r="B163" t="str">
        <f>IF(COUNTIF('Pull Data'!B$2:B$1000, A163) &gt; 0, A163, "")</f>
        <v/>
      </c>
      <c r="C163" t="str">
        <f t="shared" si="4"/>
        <v/>
      </c>
      <c r="F163" t="str">
        <f>IF(COUNTIF('Pull Data'!C$2:C$1000, E163) &gt; 0, E163, "")</f>
        <v/>
      </c>
      <c r="G163" t="str">
        <f t="shared" si="5"/>
        <v/>
      </c>
    </row>
    <row r="164" spans="2:7" x14ac:dyDescent="0.25">
      <c r="B164" t="str">
        <f>IF(COUNTIF('Pull Data'!B$2:B$1000, A164) &gt; 0, A164, "")</f>
        <v/>
      </c>
      <c r="C164" t="str">
        <f t="shared" si="4"/>
        <v/>
      </c>
      <c r="F164" t="str">
        <f>IF(COUNTIF('Pull Data'!C$2:C$1000, E164) &gt; 0, E164, "")</f>
        <v/>
      </c>
      <c r="G164" t="str">
        <f t="shared" si="5"/>
        <v/>
      </c>
    </row>
    <row r="165" spans="2:7" x14ac:dyDescent="0.25">
      <c r="B165" t="str">
        <f>IF(COUNTIF('Pull Data'!B$2:B$1000, A165) &gt; 0, A165, "")</f>
        <v/>
      </c>
      <c r="C165" t="str">
        <f t="shared" si="4"/>
        <v/>
      </c>
      <c r="F165" t="str">
        <f>IF(COUNTIF('Pull Data'!C$2:C$1000, E165) &gt; 0, E165, "")</f>
        <v/>
      </c>
      <c r="G165" t="str">
        <f t="shared" si="5"/>
        <v/>
      </c>
    </row>
    <row r="166" spans="2:7" x14ac:dyDescent="0.25">
      <c r="B166" t="str">
        <f>IF(COUNTIF('Pull Data'!B$2:B$1000, A166) &gt; 0, A166, "")</f>
        <v/>
      </c>
      <c r="C166" t="str">
        <f t="shared" si="4"/>
        <v/>
      </c>
      <c r="F166" t="str">
        <f>IF(COUNTIF('Pull Data'!C$2:C$1000, E166) &gt; 0, E166, "")</f>
        <v/>
      </c>
      <c r="G166" t="str">
        <f t="shared" si="5"/>
        <v/>
      </c>
    </row>
    <row r="167" spans="2:7" x14ac:dyDescent="0.25">
      <c r="B167" t="str">
        <f>IF(COUNTIF('Pull Data'!B$2:B$1000, A167) &gt; 0, A167, "")</f>
        <v/>
      </c>
      <c r="C167" t="str">
        <f t="shared" si="4"/>
        <v/>
      </c>
      <c r="F167" t="str">
        <f>IF(COUNTIF('Pull Data'!C$2:C$1000, E167) &gt; 0, E167, "")</f>
        <v/>
      </c>
      <c r="G167" t="str">
        <f t="shared" si="5"/>
        <v/>
      </c>
    </row>
    <row r="168" spans="2:7" x14ac:dyDescent="0.25">
      <c r="B168" t="str">
        <f>IF(COUNTIF('Pull Data'!B$2:B$1000, A168) &gt; 0, A168, "")</f>
        <v/>
      </c>
      <c r="C168" t="str">
        <f t="shared" si="4"/>
        <v/>
      </c>
      <c r="F168" t="str">
        <f>IF(COUNTIF('Pull Data'!C$2:C$1000, E168) &gt; 0, E168, "")</f>
        <v/>
      </c>
      <c r="G168" t="str">
        <f t="shared" si="5"/>
        <v/>
      </c>
    </row>
    <row r="169" spans="2:7" x14ac:dyDescent="0.25">
      <c r="B169" t="str">
        <f>IF(COUNTIF('Pull Data'!B$2:B$1000, A169) &gt; 0, A169, "")</f>
        <v/>
      </c>
      <c r="C169" t="str">
        <f t="shared" si="4"/>
        <v/>
      </c>
      <c r="F169" t="str">
        <f>IF(COUNTIF('Pull Data'!C$2:C$1000, E169) &gt; 0, E169, "")</f>
        <v/>
      </c>
      <c r="G169" t="str">
        <f t="shared" si="5"/>
        <v/>
      </c>
    </row>
    <row r="170" spans="2:7" x14ac:dyDescent="0.25">
      <c r="B170" t="str">
        <f>IF(COUNTIF('Pull Data'!B$2:B$1000, A170) &gt; 0, A170, "")</f>
        <v/>
      </c>
      <c r="C170" t="str">
        <f t="shared" si="4"/>
        <v/>
      </c>
      <c r="F170" t="str">
        <f>IF(COUNTIF('Pull Data'!C$2:C$1000, E170) &gt; 0, E170, "")</f>
        <v/>
      </c>
      <c r="G170" t="str">
        <f t="shared" si="5"/>
        <v/>
      </c>
    </row>
    <row r="171" spans="2:7" x14ac:dyDescent="0.25">
      <c r="B171" t="str">
        <f>IF(COUNTIF('Pull Data'!B$2:B$1000, A171) &gt; 0, A171, "")</f>
        <v/>
      </c>
      <c r="C171" t="str">
        <f t="shared" si="4"/>
        <v/>
      </c>
      <c r="F171" t="str">
        <f>IF(COUNTIF('Pull Data'!C$2:C$1000, E171) &gt; 0, E171, "")</f>
        <v/>
      </c>
      <c r="G171" t="str">
        <f t="shared" si="5"/>
        <v/>
      </c>
    </row>
    <row r="172" spans="2:7" x14ac:dyDescent="0.25">
      <c r="B172" t="str">
        <f>IF(COUNTIF('Pull Data'!B$2:B$1000, A172) &gt; 0, A172, "")</f>
        <v/>
      </c>
      <c r="C172" t="str">
        <f t="shared" si="4"/>
        <v/>
      </c>
      <c r="F172" t="str">
        <f>IF(COUNTIF('Pull Data'!C$2:C$1000, E172) &gt; 0, E172, "")</f>
        <v/>
      </c>
      <c r="G172" t="str">
        <f t="shared" si="5"/>
        <v/>
      </c>
    </row>
    <row r="173" spans="2:7" x14ac:dyDescent="0.25">
      <c r="B173" t="str">
        <f>IF(COUNTIF('Pull Data'!B$2:B$1000, A173) &gt; 0, A173, "")</f>
        <v/>
      </c>
      <c r="C173" t="str">
        <f t="shared" si="4"/>
        <v/>
      </c>
      <c r="F173" t="str">
        <f>IF(COUNTIF('Pull Data'!C$2:C$1000, E173) &gt; 0, E173, "")</f>
        <v/>
      </c>
      <c r="G173" t="str">
        <f t="shared" si="5"/>
        <v/>
      </c>
    </row>
    <row r="174" spans="2:7" x14ac:dyDescent="0.25">
      <c r="B174" t="str">
        <f>IF(COUNTIF('Pull Data'!B$2:B$1000, A174) &gt; 0, A174, "")</f>
        <v/>
      </c>
      <c r="C174" t="str">
        <f t="shared" si="4"/>
        <v/>
      </c>
      <c r="F174" t="str">
        <f>IF(COUNTIF('Pull Data'!C$2:C$1000, E174) &gt; 0, E174, "")</f>
        <v/>
      </c>
      <c r="G174" t="str">
        <f t="shared" si="5"/>
        <v/>
      </c>
    </row>
    <row r="175" spans="2:7" x14ac:dyDescent="0.25">
      <c r="B175" t="str">
        <f>IF(COUNTIF('Pull Data'!B$2:B$1000, A175) &gt; 0, A175, "")</f>
        <v/>
      </c>
      <c r="C175" t="str">
        <f t="shared" si="4"/>
        <v/>
      </c>
      <c r="F175" t="str">
        <f>IF(COUNTIF('Pull Data'!C$2:C$1000, E175) &gt; 0, E175, "")</f>
        <v/>
      </c>
      <c r="G175" t="str">
        <f t="shared" si="5"/>
        <v/>
      </c>
    </row>
    <row r="176" spans="2:7" x14ac:dyDescent="0.25">
      <c r="B176" t="str">
        <f>IF(COUNTIF('Pull Data'!B$2:B$1000, A176) &gt; 0, A176, "")</f>
        <v/>
      </c>
      <c r="C176" t="str">
        <f t="shared" si="4"/>
        <v/>
      </c>
      <c r="F176" t="str">
        <f>IF(COUNTIF('Pull Data'!C$2:C$1000, E176) &gt; 0, E176, "")</f>
        <v/>
      </c>
      <c r="G176" t="str">
        <f t="shared" si="5"/>
        <v/>
      </c>
    </row>
    <row r="177" spans="2:7" x14ac:dyDescent="0.25">
      <c r="B177" t="str">
        <f>IF(COUNTIF('Pull Data'!B$2:B$1000, A177) &gt; 0, A177, "")</f>
        <v/>
      </c>
      <c r="C177" t="str">
        <f t="shared" si="4"/>
        <v/>
      </c>
      <c r="F177" t="str">
        <f>IF(COUNTIF('Pull Data'!C$2:C$1000, E177) &gt; 0, E177, "")</f>
        <v/>
      </c>
      <c r="G177" t="str">
        <f t="shared" si="5"/>
        <v/>
      </c>
    </row>
    <row r="178" spans="2:7" x14ac:dyDescent="0.25">
      <c r="B178" t="str">
        <f>IF(COUNTIF('Pull Data'!B$2:B$1000, A178) &gt; 0, A178, "")</f>
        <v/>
      </c>
      <c r="C178" t="str">
        <f t="shared" si="4"/>
        <v/>
      </c>
      <c r="F178" t="str">
        <f>IF(COUNTIF('Pull Data'!C$2:C$1000, E178) &gt; 0, E178, "")</f>
        <v/>
      </c>
      <c r="G178" t="str">
        <f t="shared" si="5"/>
        <v/>
      </c>
    </row>
    <row r="179" spans="2:7" x14ac:dyDescent="0.25">
      <c r="B179" t="str">
        <f>IF(COUNTIF('Pull Data'!B$2:B$1000, A179) &gt; 0, A179, "")</f>
        <v/>
      </c>
      <c r="C179" t="str">
        <f t="shared" si="4"/>
        <v/>
      </c>
      <c r="F179" t="str">
        <f>IF(COUNTIF('Pull Data'!C$2:C$1000, E179) &gt; 0, E179, "")</f>
        <v/>
      </c>
      <c r="G179" t="str">
        <f t="shared" si="5"/>
        <v/>
      </c>
    </row>
    <row r="180" spans="2:7" x14ac:dyDescent="0.25">
      <c r="B180" t="str">
        <f>IF(COUNTIF('Pull Data'!B$2:B$1000, A180) &gt; 0, A180, "")</f>
        <v/>
      </c>
      <c r="C180" t="str">
        <f t="shared" si="4"/>
        <v/>
      </c>
      <c r="F180" t="str">
        <f>IF(COUNTIF('Pull Data'!C$2:C$1000, E180) &gt; 0, E180, "")</f>
        <v/>
      </c>
      <c r="G180" t="str">
        <f t="shared" si="5"/>
        <v/>
      </c>
    </row>
    <row r="181" spans="2:7" x14ac:dyDescent="0.25">
      <c r="B181" t="str">
        <f>IF(COUNTIF('Pull Data'!B$2:B$1000, A181) &gt; 0, A181, "")</f>
        <v/>
      </c>
      <c r="C181" t="str">
        <f t="shared" si="4"/>
        <v/>
      </c>
      <c r="F181" t="str">
        <f>IF(COUNTIF('Pull Data'!C$2:C$1000, E181) &gt; 0, E181, "")</f>
        <v/>
      </c>
      <c r="G181" t="str">
        <f t="shared" si="5"/>
        <v/>
      </c>
    </row>
    <row r="182" spans="2:7" x14ac:dyDescent="0.25">
      <c r="B182" t="str">
        <f>IF(COUNTIF('Pull Data'!B$2:B$1000, A182) &gt; 0, A182, "")</f>
        <v/>
      </c>
      <c r="C182" t="str">
        <f t="shared" si="4"/>
        <v/>
      </c>
      <c r="F182" t="str">
        <f>IF(COUNTIF('Pull Data'!C$2:C$1000, E182) &gt; 0, E182, "")</f>
        <v/>
      </c>
      <c r="G182" t="str">
        <f t="shared" si="5"/>
        <v/>
      </c>
    </row>
    <row r="183" spans="2:7" x14ac:dyDescent="0.25">
      <c r="B183" t="str">
        <f>IF(COUNTIF('Pull Data'!B$2:B$1000, A183) &gt; 0, A183, "")</f>
        <v/>
      </c>
      <c r="C183" t="str">
        <f t="shared" si="4"/>
        <v/>
      </c>
      <c r="F183" t="str">
        <f>IF(COUNTIF('Pull Data'!C$2:C$1000, E183) &gt; 0, E183, "")</f>
        <v/>
      </c>
      <c r="G183" t="str">
        <f t="shared" si="5"/>
        <v/>
      </c>
    </row>
    <row r="184" spans="2:7" x14ac:dyDescent="0.25">
      <c r="B184" t="str">
        <f>IF(COUNTIF('Pull Data'!B$2:B$1000, A184) &gt; 0, A184, "")</f>
        <v/>
      </c>
      <c r="C184" t="str">
        <f t="shared" si="4"/>
        <v/>
      </c>
      <c r="F184" t="str">
        <f>IF(COUNTIF('Pull Data'!C$2:C$1000, E184) &gt; 0, E184, "")</f>
        <v/>
      </c>
      <c r="G184" t="str">
        <f t="shared" si="5"/>
        <v/>
      </c>
    </row>
    <row r="185" spans="2:7" x14ac:dyDescent="0.25">
      <c r="B185" t="str">
        <f>IF(COUNTIF('Pull Data'!B$2:B$1000, A185) &gt; 0, A185, "")</f>
        <v/>
      </c>
      <c r="C185" t="str">
        <f t="shared" si="4"/>
        <v/>
      </c>
      <c r="F185" t="str">
        <f>IF(COUNTIF('Pull Data'!C$2:C$1000, E185) &gt; 0, E185, "")</f>
        <v/>
      </c>
      <c r="G185" t="str">
        <f t="shared" si="5"/>
        <v/>
      </c>
    </row>
    <row r="186" spans="2:7" x14ac:dyDescent="0.25">
      <c r="B186" t="str">
        <f>IF(COUNTIF('Pull Data'!B$2:B$1000, A186) &gt; 0, A186, "")</f>
        <v/>
      </c>
      <c r="C186" t="str">
        <f t="shared" si="4"/>
        <v/>
      </c>
      <c r="F186" t="str">
        <f>IF(COUNTIF('Pull Data'!C$2:C$1000, E186) &gt; 0, E186, "")</f>
        <v/>
      </c>
      <c r="G186" t="str">
        <f t="shared" si="5"/>
        <v/>
      </c>
    </row>
    <row r="187" spans="2:7" x14ac:dyDescent="0.25">
      <c r="B187" t="str">
        <f>IF(COUNTIF('Pull Data'!B$2:B$1000, A187) &gt; 0, A187, "")</f>
        <v/>
      </c>
      <c r="C187" t="str">
        <f t="shared" si="4"/>
        <v/>
      </c>
      <c r="F187" t="str">
        <f>IF(COUNTIF('Pull Data'!C$2:C$1000, E187) &gt; 0, E187, "")</f>
        <v/>
      </c>
      <c r="G187" t="str">
        <f t="shared" si="5"/>
        <v/>
      </c>
    </row>
    <row r="188" spans="2:7" x14ac:dyDescent="0.25">
      <c r="B188" t="str">
        <f>IF(COUNTIF('Pull Data'!B$2:B$1000, A188) &gt; 0, A188, "")</f>
        <v/>
      </c>
      <c r="C188" t="str">
        <f t="shared" si="4"/>
        <v/>
      </c>
      <c r="F188" t="str">
        <f>IF(COUNTIF('Pull Data'!C$2:C$1000, E188) &gt; 0, E188, "")</f>
        <v/>
      </c>
      <c r="G188" t="str">
        <f t="shared" si="5"/>
        <v/>
      </c>
    </row>
    <row r="189" spans="2:7" x14ac:dyDescent="0.25">
      <c r="B189" t="str">
        <f>IF(COUNTIF('Pull Data'!B$2:B$1000, A189) &gt; 0, A189, "")</f>
        <v/>
      </c>
      <c r="C189" t="str">
        <f t="shared" si="4"/>
        <v/>
      </c>
      <c r="F189" t="str">
        <f>IF(COUNTIF('Pull Data'!C$2:C$1000, E189) &gt; 0, E189, "")</f>
        <v/>
      </c>
      <c r="G189" t="str">
        <f t="shared" si="5"/>
        <v/>
      </c>
    </row>
    <row r="190" spans="2:7" x14ac:dyDescent="0.25">
      <c r="B190" t="str">
        <f>IF(COUNTIF('Pull Data'!B$2:B$1000, A190) &gt; 0, A190, "")</f>
        <v/>
      </c>
      <c r="C190" t="str">
        <f t="shared" si="4"/>
        <v/>
      </c>
      <c r="F190" t="str">
        <f>IF(COUNTIF('Pull Data'!C$2:C$1000, E190) &gt; 0, E190, "")</f>
        <v/>
      </c>
      <c r="G190" t="str">
        <f t="shared" si="5"/>
        <v/>
      </c>
    </row>
    <row r="191" spans="2:7" x14ac:dyDescent="0.25">
      <c r="B191" t="str">
        <f>IF(COUNTIF('Pull Data'!B$2:B$1000, A191) &gt; 0, A191, "")</f>
        <v/>
      </c>
      <c r="C191" t="str">
        <f t="shared" si="4"/>
        <v/>
      </c>
      <c r="F191" t="str">
        <f>IF(COUNTIF('Pull Data'!C$2:C$1000, E191) &gt; 0, E191, "")</f>
        <v/>
      </c>
      <c r="G191" t="str">
        <f t="shared" si="5"/>
        <v/>
      </c>
    </row>
    <row r="192" spans="2:7" x14ac:dyDescent="0.25">
      <c r="B192" t="str">
        <f>IF(COUNTIF('Pull Data'!B$2:B$1000, A192) &gt; 0, A192, "")</f>
        <v/>
      </c>
      <c r="C192" t="str">
        <f t="shared" si="4"/>
        <v/>
      </c>
      <c r="F192" t="str">
        <f>IF(COUNTIF('Pull Data'!C$2:C$1000, E192) &gt; 0, E192, "")</f>
        <v/>
      </c>
      <c r="G192" t="str">
        <f t="shared" si="5"/>
        <v/>
      </c>
    </row>
    <row r="193" spans="2:7" x14ac:dyDescent="0.25">
      <c r="B193" t="str">
        <f>IF(COUNTIF('Pull Data'!B$2:B$1000, A193) &gt; 0, A193, "")</f>
        <v/>
      </c>
      <c r="C193" t="str">
        <f t="shared" si="4"/>
        <v/>
      </c>
      <c r="F193" t="str">
        <f>IF(COUNTIF('Pull Data'!C$2:C$1000, E193) &gt; 0, E193, "")</f>
        <v/>
      </c>
      <c r="G193" t="str">
        <f t="shared" si="5"/>
        <v/>
      </c>
    </row>
    <row r="194" spans="2:7" x14ac:dyDescent="0.25">
      <c r="B194" t="str">
        <f>IF(COUNTIF('Pull Data'!B$2:B$1000, A194) &gt; 0, A194, "")</f>
        <v/>
      </c>
      <c r="C194" t="str">
        <f t="shared" si="4"/>
        <v/>
      </c>
      <c r="F194" t="str">
        <f>IF(COUNTIF('Pull Data'!C$2:C$1000, E194) &gt; 0, E194, "")</f>
        <v/>
      </c>
      <c r="G194" t="str">
        <f t="shared" si="5"/>
        <v/>
      </c>
    </row>
    <row r="195" spans="2:7" x14ac:dyDescent="0.25">
      <c r="B195" t="str">
        <f>IF(COUNTIF('Pull Data'!B$2:B$1000, A195) &gt; 0, A195, "")</f>
        <v/>
      </c>
      <c r="C195" t="str">
        <f t="shared" ref="C195:C258" si="6">IF(AND(A195="", B195=""), "", IF(A195&lt;&gt;B195, "Custodian Does Not Appear in Data", "Custodian Appears in Data"))</f>
        <v/>
      </c>
      <c r="F195" t="str">
        <f>IF(COUNTIF('Pull Data'!C$2:C$1000, E195) &gt; 0, E195, "")</f>
        <v/>
      </c>
      <c r="G195" t="str">
        <f t="shared" ref="G195:G258" si="7">IF(AND(E195="", F195=""), "", IF(E195&lt;&gt;F195, "c/o Does Not Appear in Data", "c/o Appears in Data"))</f>
        <v/>
      </c>
    </row>
    <row r="196" spans="2:7" x14ac:dyDescent="0.25">
      <c r="B196" t="str">
        <f>IF(COUNTIF('Pull Data'!B$2:B$1000, A196) &gt; 0, A196, "")</f>
        <v/>
      </c>
      <c r="C196" t="str">
        <f t="shared" si="6"/>
        <v/>
      </c>
      <c r="F196" t="str">
        <f>IF(COUNTIF('Pull Data'!C$2:C$1000, E196) &gt; 0, E196, "")</f>
        <v/>
      </c>
      <c r="G196" t="str">
        <f t="shared" si="7"/>
        <v/>
      </c>
    </row>
    <row r="197" spans="2:7" x14ac:dyDescent="0.25">
      <c r="B197" t="str">
        <f>IF(COUNTIF('Pull Data'!B$2:B$1000, A197) &gt; 0, A197, "")</f>
        <v/>
      </c>
      <c r="C197" t="str">
        <f t="shared" si="6"/>
        <v/>
      </c>
      <c r="F197" t="str">
        <f>IF(COUNTIF('Pull Data'!C$2:C$1000, E197) &gt; 0, E197, "")</f>
        <v/>
      </c>
      <c r="G197" t="str">
        <f t="shared" si="7"/>
        <v/>
      </c>
    </row>
    <row r="198" spans="2:7" x14ac:dyDescent="0.25">
      <c r="B198" t="str">
        <f>IF(COUNTIF('Pull Data'!B$2:B$1000, A198) &gt; 0, A198, "")</f>
        <v/>
      </c>
      <c r="C198" t="str">
        <f t="shared" si="6"/>
        <v/>
      </c>
      <c r="F198" t="str">
        <f>IF(COUNTIF('Pull Data'!C$2:C$1000, E198) &gt; 0, E198, "")</f>
        <v/>
      </c>
      <c r="G198" t="str">
        <f t="shared" si="7"/>
        <v/>
      </c>
    </row>
    <row r="199" spans="2:7" x14ac:dyDescent="0.25">
      <c r="B199" t="str">
        <f>IF(COUNTIF('Pull Data'!B$2:B$1000, A199) &gt; 0, A199, "")</f>
        <v/>
      </c>
      <c r="C199" t="str">
        <f t="shared" si="6"/>
        <v/>
      </c>
      <c r="F199" t="str">
        <f>IF(COUNTIF('Pull Data'!C$2:C$1000, E199) &gt; 0, E199, "")</f>
        <v/>
      </c>
      <c r="G199" t="str">
        <f t="shared" si="7"/>
        <v/>
      </c>
    </row>
    <row r="200" spans="2:7" x14ac:dyDescent="0.25">
      <c r="B200" t="str">
        <f>IF(COUNTIF('Pull Data'!B$2:B$1000, A200) &gt; 0, A200, "")</f>
        <v/>
      </c>
      <c r="C200" t="str">
        <f t="shared" si="6"/>
        <v/>
      </c>
      <c r="F200" t="str">
        <f>IF(COUNTIF('Pull Data'!C$2:C$1000, E200) &gt; 0, E200, "")</f>
        <v/>
      </c>
      <c r="G200" t="str">
        <f t="shared" si="7"/>
        <v/>
      </c>
    </row>
    <row r="201" spans="2:7" x14ac:dyDescent="0.25">
      <c r="B201" t="str">
        <f>IF(COUNTIF('Pull Data'!B$2:B$1000, A201) &gt; 0, A201, "")</f>
        <v/>
      </c>
      <c r="C201" t="str">
        <f t="shared" si="6"/>
        <v/>
      </c>
      <c r="F201" t="str">
        <f>IF(COUNTIF('Pull Data'!C$2:C$1000, E201) &gt; 0, E201, "")</f>
        <v/>
      </c>
      <c r="G201" t="str">
        <f t="shared" si="7"/>
        <v/>
      </c>
    </row>
    <row r="202" spans="2:7" x14ac:dyDescent="0.25">
      <c r="B202" t="str">
        <f>IF(COUNTIF('Pull Data'!B$2:B$1000, A202) &gt; 0, A202, "")</f>
        <v/>
      </c>
      <c r="C202" t="str">
        <f t="shared" si="6"/>
        <v/>
      </c>
      <c r="F202" t="str">
        <f>IF(COUNTIF('Pull Data'!C$2:C$1000, E202) &gt; 0, E202, "")</f>
        <v/>
      </c>
      <c r="G202" t="str">
        <f t="shared" si="7"/>
        <v/>
      </c>
    </row>
    <row r="203" spans="2:7" x14ac:dyDescent="0.25">
      <c r="B203" t="str">
        <f>IF(COUNTIF('Pull Data'!B$2:B$1000, A203) &gt; 0, A203, "")</f>
        <v/>
      </c>
      <c r="C203" t="str">
        <f t="shared" si="6"/>
        <v/>
      </c>
      <c r="F203" t="str">
        <f>IF(COUNTIF('Pull Data'!C$2:C$1000, E203) &gt; 0, E203, "")</f>
        <v/>
      </c>
      <c r="G203" t="str">
        <f t="shared" si="7"/>
        <v/>
      </c>
    </row>
    <row r="204" spans="2:7" x14ac:dyDescent="0.25">
      <c r="B204" t="str">
        <f>IF(COUNTIF('Pull Data'!B$2:B$1000, A204) &gt; 0, A204, "")</f>
        <v/>
      </c>
      <c r="C204" t="str">
        <f t="shared" si="6"/>
        <v/>
      </c>
      <c r="F204" t="str">
        <f>IF(COUNTIF('Pull Data'!C$2:C$1000, E204) &gt; 0, E204, "")</f>
        <v/>
      </c>
      <c r="G204" t="str">
        <f t="shared" si="7"/>
        <v/>
      </c>
    </row>
    <row r="205" spans="2:7" x14ac:dyDescent="0.25">
      <c r="B205" t="str">
        <f>IF(COUNTIF('Pull Data'!B$2:B$1000, A205) &gt; 0, A205, "")</f>
        <v/>
      </c>
      <c r="C205" t="str">
        <f t="shared" si="6"/>
        <v/>
      </c>
      <c r="F205" t="str">
        <f>IF(COUNTIF('Pull Data'!C$2:C$1000, E205) &gt; 0, E205, "")</f>
        <v/>
      </c>
      <c r="G205" t="str">
        <f t="shared" si="7"/>
        <v/>
      </c>
    </row>
    <row r="206" spans="2:7" x14ac:dyDescent="0.25">
      <c r="B206" t="str">
        <f>IF(COUNTIF('Pull Data'!B$2:B$1000, A206) &gt; 0, A206, "")</f>
        <v/>
      </c>
      <c r="C206" t="str">
        <f t="shared" si="6"/>
        <v/>
      </c>
      <c r="F206" t="str">
        <f>IF(COUNTIF('Pull Data'!C$2:C$1000, E206) &gt; 0, E206, "")</f>
        <v/>
      </c>
      <c r="G206" t="str">
        <f t="shared" si="7"/>
        <v/>
      </c>
    </row>
    <row r="207" spans="2:7" x14ac:dyDescent="0.25">
      <c r="B207" t="str">
        <f>IF(COUNTIF('Pull Data'!B$2:B$1000, A207) &gt; 0, A207, "")</f>
        <v/>
      </c>
      <c r="C207" t="str">
        <f t="shared" si="6"/>
        <v/>
      </c>
      <c r="F207" t="str">
        <f>IF(COUNTIF('Pull Data'!C$2:C$1000, E207) &gt; 0, E207, "")</f>
        <v/>
      </c>
      <c r="G207" t="str">
        <f t="shared" si="7"/>
        <v/>
      </c>
    </row>
    <row r="208" spans="2:7" x14ac:dyDescent="0.25">
      <c r="B208" t="str">
        <f>IF(COUNTIF('Pull Data'!B$2:B$1000, A208) &gt; 0, A208, "")</f>
        <v/>
      </c>
      <c r="C208" t="str">
        <f t="shared" si="6"/>
        <v/>
      </c>
      <c r="F208" t="str">
        <f>IF(COUNTIF('Pull Data'!C$2:C$1000, E208) &gt; 0, E208, "")</f>
        <v/>
      </c>
      <c r="G208" t="str">
        <f t="shared" si="7"/>
        <v/>
      </c>
    </row>
    <row r="209" spans="2:7" x14ac:dyDescent="0.25">
      <c r="B209" t="str">
        <f>IF(COUNTIF('Pull Data'!B$2:B$1000, A209) &gt; 0, A209, "")</f>
        <v/>
      </c>
      <c r="C209" t="str">
        <f t="shared" si="6"/>
        <v/>
      </c>
      <c r="F209" t="str">
        <f>IF(COUNTIF('Pull Data'!C$2:C$1000, E209) &gt; 0, E209, "")</f>
        <v/>
      </c>
      <c r="G209" t="str">
        <f t="shared" si="7"/>
        <v/>
      </c>
    </row>
    <row r="210" spans="2:7" x14ac:dyDescent="0.25">
      <c r="B210" t="str">
        <f>IF(COUNTIF('Pull Data'!B$2:B$1000, A210) &gt; 0, A210, "")</f>
        <v/>
      </c>
      <c r="C210" t="str">
        <f t="shared" si="6"/>
        <v/>
      </c>
      <c r="F210" t="str">
        <f>IF(COUNTIF('Pull Data'!C$2:C$1000, E210) &gt; 0, E210, "")</f>
        <v/>
      </c>
      <c r="G210" t="str">
        <f t="shared" si="7"/>
        <v/>
      </c>
    </row>
    <row r="211" spans="2:7" x14ac:dyDescent="0.25">
      <c r="B211" t="str">
        <f>IF(COUNTIF('Pull Data'!B$2:B$1000, A211) &gt; 0, A211, "")</f>
        <v/>
      </c>
      <c r="C211" t="str">
        <f t="shared" si="6"/>
        <v/>
      </c>
      <c r="F211" t="str">
        <f>IF(COUNTIF('Pull Data'!C$2:C$1000, E211) &gt; 0, E211, "")</f>
        <v/>
      </c>
      <c r="G211" t="str">
        <f t="shared" si="7"/>
        <v/>
      </c>
    </row>
    <row r="212" spans="2:7" x14ac:dyDescent="0.25">
      <c r="B212" t="str">
        <f>IF(COUNTIF('Pull Data'!B$2:B$1000, A212) &gt; 0, A212, "")</f>
        <v/>
      </c>
      <c r="C212" t="str">
        <f t="shared" si="6"/>
        <v/>
      </c>
      <c r="F212" t="str">
        <f>IF(COUNTIF('Pull Data'!C$2:C$1000, E212) &gt; 0, E212, "")</f>
        <v/>
      </c>
      <c r="G212" t="str">
        <f t="shared" si="7"/>
        <v/>
      </c>
    </row>
    <row r="213" spans="2:7" x14ac:dyDescent="0.25">
      <c r="B213" t="str">
        <f>IF(COUNTIF('Pull Data'!B$2:B$1000, A213) &gt; 0, A213, "")</f>
        <v/>
      </c>
      <c r="C213" t="str">
        <f t="shared" si="6"/>
        <v/>
      </c>
      <c r="F213" t="str">
        <f>IF(COUNTIF('Pull Data'!C$2:C$1000, E213) &gt; 0, E213, "")</f>
        <v/>
      </c>
      <c r="G213" t="str">
        <f t="shared" si="7"/>
        <v/>
      </c>
    </row>
    <row r="214" spans="2:7" x14ac:dyDescent="0.25">
      <c r="B214" t="str">
        <f>IF(COUNTIF('Pull Data'!B$2:B$1000, A214) &gt; 0, A214, "")</f>
        <v/>
      </c>
      <c r="C214" t="str">
        <f t="shared" si="6"/>
        <v/>
      </c>
      <c r="F214" t="str">
        <f>IF(COUNTIF('Pull Data'!C$2:C$1000, E214) &gt; 0, E214, "")</f>
        <v/>
      </c>
      <c r="G214" t="str">
        <f t="shared" si="7"/>
        <v/>
      </c>
    </row>
    <row r="215" spans="2:7" x14ac:dyDescent="0.25">
      <c r="B215" t="str">
        <f>IF(COUNTIF('Pull Data'!B$2:B$1000, A215) &gt; 0, A215, "")</f>
        <v/>
      </c>
      <c r="C215" t="str">
        <f t="shared" si="6"/>
        <v/>
      </c>
      <c r="F215" t="str">
        <f>IF(COUNTIF('Pull Data'!C$2:C$1000, E215) &gt; 0, E215, "")</f>
        <v/>
      </c>
      <c r="G215" t="str">
        <f t="shared" si="7"/>
        <v/>
      </c>
    </row>
    <row r="216" spans="2:7" x14ac:dyDescent="0.25">
      <c r="B216" t="str">
        <f>IF(COUNTIF('Pull Data'!B$2:B$1000, A216) &gt; 0, A216, "")</f>
        <v/>
      </c>
      <c r="C216" t="str">
        <f t="shared" si="6"/>
        <v/>
      </c>
      <c r="F216" t="str">
        <f>IF(COUNTIF('Pull Data'!C$2:C$1000, E216) &gt; 0, E216, "")</f>
        <v/>
      </c>
      <c r="G216" t="str">
        <f t="shared" si="7"/>
        <v/>
      </c>
    </row>
    <row r="217" spans="2:7" x14ac:dyDescent="0.25">
      <c r="B217" t="str">
        <f>IF(COUNTIF('Pull Data'!B$2:B$1000, A217) &gt; 0, A217, "")</f>
        <v/>
      </c>
      <c r="C217" t="str">
        <f t="shared" si="6"/>
        <v/>
      </c>
      <c r="F217" t="str">
        <f>IF(COUNTIF('Pull Data'!C$2:C$1000, E217) &gt; 0, E217, "")</f>
        <v/>
      </c>
      <c r="G217" t="str">
        <f t="shared" si="7"/>
        <v/>
      </c>
    </row>
    <row r="218" spans="2:7" x14ac:dyDescent="0.25">
      <c r="B218" t="str">
        <f>IF(COUNTIF('Pull Data'!B$2:B$1000, A218) &gt; 0, A218, "")</f>
        <v/>
      </c>
      <c r="C218" t="str">
        <f t="shared" si="6"/>
        <v/>
      </c>
      <c r="F218" t="str">
        <f>IF(COUNTIF('Pull Data'!C$2:C$1000, E218) &gt; 0, E218, "")</f>
        <v/>
      </c>
      <c r="G218" t="str">
        <f t="shared" si="7"/>
        <v/>
      </c>
    </row>
    <row r="219" spans="2:7" x14ac:dyDescent="0.25">
      <c r="B219" t="str">
        <f>IF(COUNTIF('Pull Data'!B$2:B$1000, A219) &gt; 0, A219, "")</f>
        <v/>
      </c>
      <c r="C219" t="str">
        <f t="shared" si="6"/>
        <v/>
      </c>
      <c r="F219" t="str">
        <f>IF(COUNTIF('Pull Data'!C$2:C$1000, E219) &gt; 0, E219, "")</f>
        <v/>
      </c>
      <c r="G219" t="str">
        <f t="shared" si="7"/>
        <v/>
      </c>
    </row>
    <row r="220" spans="2:7" x14ac:dyDescent="0.25">
      <c r="B220" t="str">
        <f>IF(COUNTIF('Pull Data'!B$2:B$1000, A220) &gt; 0, A220, "")</f>
        <v/>
      </c>
      <c r="C220" t="str">
        <f t="shared" si="6"/>
        <v/>
      </c>
      <c r="F220" t="str">
        <f>IF(COUNTIF('Pull Data'!C$2:C$1000, E220) &gt; 0, E220, "")</f>
        <v/>
      </c>
      <c r="G220" t="str">
        <f t="shared" si="7"/>
        <v/>
      </c>
    </row>
    <row r="221" spans="2:7" x14ac:dyDescent="0.25">
      <c r="B221" t="str">
        <f>IF(COUNTIF('Pull Data'!B$2:B$1000, A221) &gt; 0, A221, "")</f>
        <v/>
      </c>
      <c r="C221" t="str">
        <f t="shared" si="6"/>
        <v/>
      </c>
      <c r="F221" t="str">
        <f>IF(COUNTIF('Pull Data'!C$2:C$1000, E221) &gt; 0, E221, "")</f>
        <v/>
      </c>
      <c r="G221" t="str">
        <f t="shared" si="7"/>
        <v/>
      </c>
    </row>
    <row r="222" spans="2:7" x14ac:dyDescent="0.25">
      <c r="B222" t="str">
        <f>IF(COUNTIF('Pull Data'!B$2:B$1000, A222) &gt; 0, A222, "")</f>
        <v/>
      </c>
      <c r="C222" t="str">
        <f t="shared" si="6"/>
        <v/>
      </c>
      <c r="F222" t="str">
        <f>IF(COUNTIF('Pull Data'!C$2:C$1000, E222) &gt; 0, E222, "")</f>
        <v/>
      </c>
      <c r="G222" t="str">
        <f t="shared" si="7"/>
        <v/>
      </c>
    </row>
    <row r="223" spans="2:7" x14ac:dyDescent="0.25">
      <c r="B223" t="str">
        <f>IF(COUNTIF('Pull Data'!B$2:B$1000, A223) &gt; 0, A223, "")</f>
        <v/>
      </c>
      <c r="C223" t="str">
        <f t="shared" si="6"/>
        <v/>
      </c>
      <c r="F223" t="str">
        <f>IF(COUNTIF('Pull Data'!C$2:C$1000, E223) &gt; 0, E223, "")</f>
        <v/>
      </c>
      <c r="G223" t="str">
        <f t="shared" si="7"/>
        <v/>
      </c>
    </row>
    <row r="224" spans="2:7" x14ac:dyDescent="0.25">
      <c r="B224" t="str">
        <f>IF(COUNTIF('Pull Data'!B$2:B$1000, A224) &gt; 0, A224, "")</f>
        <v/>
      </c>
      <c r="C224" t="str">
        <f t="shared" si="6"/>
        <v/>
      </c>
      <c r="F224" t="str">
        <f>IF(COUNTIF('Pull Data'!C$2:C$1000, E224) &gt; 0, E224, "")</f>
        <v/>
      </c>
      <c r="G224" t="str">
        <f t="shared" si="7"/>
        <v/>
      </c>
    </row>
    <row r="225" spans="2:7" x14ac:dyDescent="0.25">
      <c r="B225" t="str">
        <f>IF(COUNTIF('Pull Data'!B$2:B$1000, A225) &gt; 0, A225, "")</f>
        <v/>
      </c>
      <c r="C225" t="str">
        <f t="shared" si="6"/>
        <v/>
      </c>
      <c r="F225" t="str">
        <f>IF(COUNTIF('Pull Data'!C$2:C$1000, E225) &gt; 0, E225, "")</f>
        <v/>
      </c>
      <c r="G225" t="str">
        <f t="shared" si="7"/>
        <v/>
      </c>
    </row>
    <row r="226" spans="2:7" x14ac:dyDescent="0.25">
      <c r="B226" t="str">
        <f>IF(COUNTIF('Pull Data'!B$2:B$1000, A226) &gt; 0, A226, "")</f>
        <v/>
      </c>
      <c r="C226" t="str">
        <f t="shared" si="6"/>
        <v/>
      </c>
      <c r="F226" t="str">
        <f>IF(COUNTIF('Pull Data'!C$2:C$1000, E226) &gt; 0, E226, "")</f>
        <v/>
      </c>
      <c r="G226" t="str">
        <f t="shared" si="7"/>
        <v/>
      </c>
    </row>
    <row r="227" spans="2:7" x14ac:dyDescent="0.25">
      <c r="B227" t="str">
        <f>IF(COUNTIF('Pull Data'!B$2:B$1000, A227) &gt; 0, A227, "")</f>
        <v/>
      </c>
      <c r="C227" t="str">
        <f t="shared" si="6"/>
        <v/>
      </c>
      <c r="F227" t="str">
        <f>IF(COUNTIF('Pull Data'!C$2:C$1000, E227) &gt; 0, E227, "")</f>
        <v/>
      </c>
      <c r="G227" t="str">
        <f t="shared" si="7"/>
        <v/>
      </c>
    </row>
    <row r="228" spans="2:7" x14ac:dyDescent="0.25">
      <c r="B228" t="str">
        <f>IF(COUNTIF('Pull Data'!B$2:B$1000, A228) &gt; 0, A228, "")</f>
        <v/>
      </c>
      <c r="C228" t="str">
        <f t="shared" si="6"/>
        <v/>
      </c>
      <c r="F228" t="str">
        <f>IF(COUNTIF('Pull Data'!C$2:C$1000, E228) &gt; 0, E228, "")</f>
        <v/>
      </c>
      <c r="G228" t="str">
        <f t="shared" si="7"/>
        <v/>
      </c>
    </row>
    <row r="229" spans="2:7" x14ac:dyDescent="0.25">
      <c r="B229" t="str">
        <f>IF(COUNTIF('Pull Data'!B$2:B$1000, A229) &gt; 0, A229, "")</f>
        <v/>
      </c>
      <c r="C229" t="str">
        <f t="shared" si="6"/>
        <v/>
      </c>
      <c r="F229" t="str">
        <f>IF(COUNTIF('Pull Data'!C$2:C$1000, E229) &gt; 0, E229, "")</f>
        <v/>
      </c>
      <c r="G229" t="str">
        <f t="shared" si="7"/>
        <v/>
      </c>
    </row>
    <row r="230" spans="2:7" x14ac:dyDescent="0.25">
      <c r="B230" t="str">
        <f>IF(COUNTIF('Pull Data'!B$2:B$1000, A230) &gt; 0, A230, "")</f>
        <v/>
      </c>
      <c r="C230" t="str">
        <f t="shared" si="6"/>
        <v/>
      </c>
      <c r="F230" t="str">
        <f>IF(COUNTIF('Pull Data'!C$2:C$1000, E230) &gt; 0, E230, "")</f>
        <v/>
      </c>
      <c r="G230" t="str">
        <f t="shared" si="7"/>
        <v/>
      </c>
    </row>
    <row r="231" spans="2:7" x14ac:dyDescent="0.25">
      <c r="B231" t="str">
        <f>IF(COUNTIF('Pull Data'!B$2:B$1000, A231) &gt; 0, A231, "")</f>
        <v/>
      </c>
      <c r="C231" t="str">
        <f t="shared" si="6"/>
        <v/>
      </c>
      <c r="F231" t="str">
        <f>IF(COUNTIF('Pull Data'!C$2:C$1000, E231) &gt; 0, E231, "")</f>
        <v/>
      </c>
      <c r="G231" t="str">
        <f t="shared" si="7"/>
        <v/>
      </c>
    </row>
    <row r="232" spans="2:7" x14ac:dyDescent="0.25">
      <c r="B232" t="str">
        <f>IF(COUNTIF('Pull Data'!B$2:B$1000, A232) &gt; 0, A232, "")</f>
        <v/>
      </c>
      <c r="C232" t="str">
        <f t="shared" si="6"/>
        <v/>
      </c>
      <c r="F232" t="str">
        <f>IF(COUNTIF('Pull Data'!C$2:C$1000, E232) &gt; 0, E232, "")</f>
        <v/>
      </c>
      <c r="G232" t="str">
        <f t="shared" si="7"/>
        <v/>
      </c>
    </row>
    <row r="233" spans="2:7" x14ac:dyDescent="0.25">
      <c r="B233" t="str">
        <f>IF(COUNTIF('Pull Data'!B$2:B$1000, A233) &gt; 0, A233, "")</f>
        <v/>
      </c>
      <c r="C233" t="str">
        <f t="shared" si="6"/>
        <v/>
      </c>
      <c r="F233" t="str">
        <f>IF(COUNTIF('Pull Data'!C$2:C$1000, E233) &gt; 0, E233, "")</f>
        <v/>
      </c>
      <c r="G233" t="str">
        <f t="shared" si="7"/>
        <v/>
      </c>
    </row>
    <row r="234" spans="2:7" x14ac:dyDescent="0.25">
      <c r="B234" t="str">
        <f>IF(COUNTIF('Pull Data'!B$2:B$1000, A234) &gt; 0, A234, "")</f>
        <v/>
      </c>
      <c r="C234" t="str">
        <f t="shared" si="6"/>
        <v/>
      </c>
      <c r="F234" t="str">
        <f>IF(COUNTIF('Pull Data'!C$2:C$1000, E234) &gt; 0, E234, "")</f>
        <v/>
      </c>
      <c r="G234" t="str">
        <f t="shared" si="7"/>
        <v/>
      </c>
    </row>
    <row r="235" spans="2:7" x14ac:dyDescent="0.25">
      <c r="B235" t="str">
        <f>IF(COUNTIF('Pull Data'!B$2:B$1000, A235) &gt; 0, A235, "")</f>
        <v/>
      </c>
      <c r="C235" t="str">
        <f t="shared" si="6"/>
        <v/>
      </c>
      <c r="F235" t="str">
        <f>IF(COUNTIF('Pull Data'!C$2:C$1000, E235) &gt; 0, E235, "")</f>
        <v/>
      </c>
      <c r="G235" t="str">
        <f t="shared" si="7"/>
        <v/>
      </c>
    </row>
    <row r="236" spans="2:7" x14ac:dyDescent="0.25">
      <c r="B236" t="str">
        <f>IF(COUNTIF('Pull Data'!B$2:B$1000, A236) &gt; 0, A236, "")</f>
        <v/>
      </c>
      <c r="C236" t="str">
        <f t="shared" si="6"/>
        <v/>
      </c>
      <c r="F236" t="str">
        <f>IF(COUNTIF('Pull Data'!C$2:C$1000, E236) &gt; 0, E236, "")</f>
        <v/>
      </c>
      <c r="G236" t="str">
        <f t="shared" si="7"/>
        <v/>
      </c>
    </row>
    <row r="237" spans="2:7" x14ac:dyDescent="0.25">
      <c r="B237" t="str">
        <f>IF(COUNTIF('Pull Data'!B$2:B$1000, A237) &gt; 0, A237, "")</f>
        <v/>
      </c>
      <c r="C237" t="str">
        <f t="shared" si="6"/>
        <v/>
      </c>
      <c r="F237" t="str">
        <f>IF(COUNTIF('Pull Data'!C$2:C$1000, E237) &gt; 0, E237, "")</f>
        <v/>
      </c>
      <c r="G237" t="str">
        <f t="shared" si="7"/>
        <v/>
      </c>
    </row>
    <row r="238" spans="2:7" x14ac:dyDescent="0.25">
      <c r="B238" t="str">
        <f>IF(COUNTIF('Pull Data'!B$2:B$1000, A238) &gt; 0, A238, "")</f>
        <v/>
      </c>
      <c r="C238" t="str">
        <f t="shared" si="6"/>
        <v/>
      </c>
      <c r="F238" t="str">
        <f>IF(COUNTIF('Pull Data'!C$2:C$1000, E238) &gt; 0, E238, "")</f>
        <v/>
      </c>
      <c r="G238" t="str">
        <f t="shared" si="7"/>
        <v/>
      </c>
    </row>
    <row r="239" spans="2:7" x14ac:dyDescent="0.25">
      <c r="B239" t="str">
        <f>IF(COUNTIF('Pull Data'!B$2:B$1000, A239) &gt; 0, A239, "")</f>
        <v/>
      </c>
      <c r="C239" t="str">
        <f t="shared" si="6"/>
        <v/>
      </c>
      <c r="F239" t="str">
        <f>IF(COUNTIF('Pull Data'!C$2:C$1000, E239) &gt; 0, E239, "")</f>
        <v/>
      </c>
      <c r="G239" t="str">
        <f t="shared" si="7"/>
        <v/>
      </c>
    </row>
    <row r="240" spans="2:7" x14ac:dyDescent="0.25">
      <c r="B240" t="str">
        <f>IF(COUNTIF('Pull Data'!B$2:B$1000, A240) &gt; 0, A240, "")</f>
        <v/>
      </c>
      <c r="C240" t="str">
        <f t="shared" si="6"/>
        <v/>
      </c>
      <c r="F240" t="str">
        <f>IF(COUNTIF('Pull Data'!C$2:C$1000, E240) &gt; 0, E240, "")</f>
        <v/>
      </c>
      <c r="G240" t="str">
        <f t="shared" si="7"/>
        <v/>
      </c>
    </row>
    <row r="241" spans="2:7" x14ac:dyDescent="0.25">
      <c r="B241" t="str">
        <f>IF(COUNTIF('Pull Data'!B$2:B$1000, A241) &gt; 0, A241, "")</f>
        <v/>
      </c>
      <c r="C241" t="str">
        <f t="shared" si="6"/>
        <v/>
      </c>
      <c r="F241" t="str">
        <f>IF(COUNTIF('Pull Data'!C$2:C$1000, E241) &gt; 0, E241, "")</f>
        <v/>
      </c>
      <c r="G241" t="str">
        <f t="shared" si="7"/>
        <v/>
      </c>
    </row>
    <row r="242" spans="2:7" x14ac:dyDescent="0.25">
      <c r="B242" t="str">
        <f>IF(COUNTIF('Pull Data'!B$2:B$1000, A242) &gt; 0, A242, "")</f>
        <v/>
      </c>
      <c r="C242" t="str">
        <f t="shared" si="6"/>
        <v/>
      </c>
      <c r="F242" t="str">
        <f>IF(COUNTIF('Pull Data'!C$2:C$1000, E242) &gt; 0, E242, "")</f>
        <v/>
      </c>
      <c r="G242" t="str">
        <f t="shared" si="7"/>
        <v/>
      </c>
    </row>
    <row r="243" spans="2:7" x14ac:dyDescent="0.25">
      <c r="B243" t="str">
        <f>IF(COUNTIF('Pull Data'!B$2:B$1000, A243) &gt; 0, A243, "")</f>
        <v/>
      </c>
      <c r="C243" t="str">
        <f t="shared" si="6"/>
        <v/>
      </c>
      <c r="F243" t="str">
        <f>IF(COUNTIF('Pull Data'!C$2:C$1000, E243) &gt; 0, E243, "")</f>
        <v/>
      </c>
      <c r="G243" t="str">
        <f t="shared" si="7"/>
        <v/>
      </c>
    </row>
    <row r="244" spans="2:7" x14ac:dyDescent="0.25">
      <c r="B244" t="str">
        <f>IF(COUNTIF('Pull Data'!B$2:B$1000, A244) &gt; 0, A244, "")</f>
        <v/>
      </c>
      <c r="C244" t="str">
        <f t="shared" si="6"/>
        <v/>
      </c>
      <c r="F244" t="str">
        <f>IF(COUNTIF('Pull Data'!C$2:C$1000, E244) &gt; 0, E244, "")</f>
        <v/>
      </c>
      <c r="G244" t="str">
        <f t="shared" si="7"/>
        <v/>
      </c>
    </row>
    <row r="245" spans="2:7" x14ac:dyDescent="0.25">
      <c r="B245" t="str">
        <f>IF(COUNTIF('Pull Data'!B$2:B$1000, A245) &gt; 0, A245, "")</f>
        <v/>
      </c>
      <c r="C245" t="str">
        <f t="shared" si="6"/>
        <v/>
      </c>
      <c r="F245" t="str">
        <f>IF(COUNTIF('Pull Data'!C$2:C$1000, E245) &gt; 0, E245, "")</f>
        <v/>
      </c>
      <c r="G245" t="str">
        <f t="shared" si="7"/>
        <v/>
      </c>
    </row>
    <row r="246" spans="2:7" x14ac:dyDescent="0.25">
      <c r="B246" t="str">
        <f>IF(COUNTIF('Pull Data'!B$2:B$1000, A246) &gt; 0, A246, "")</f>
        <v/>
      </c>
      <c r="C246" t="str">
        <f t="shared" si="6"/>
        <v/>
      </c>
      <c r="F246" t="str">
        <f>IF(COUNTIF('Pull Data'!C$2:C$1000, E246) &gt; 0, E246, "")</f>
        <v/>
      </c>
      <c r="G246" t="str">
        <f t="shared" si="7"/>
        <v/>
      </c>
    </row>
    <row r="247" spans="2:7" x14ac:dyDescent="0.25">
      <c r="B247" t="str">
        <f>IF(COUNTIF('Pull Data'!B$2:B$1000, A247) &gt; 0, A247, "")</f>
        <v/>
      </c>
      <c r="C247" t="str">
        <f t="shared" si="6"/>
        <v/>
      </c>
      <c r="F247" t="str">
        <f>IF(COUNTIF('Pull Data'!C$2:C$1000, E247) &gt; 0, E247, "")</f>
        <v/>
      </c>
      <c r="G247" t="str">
        <f t="shared" si="7"/>
        <v/>
      </c>
    </row>
    <row r="248" spans="2:7" x14ac:dyDescent="0.25">
      <c r="B248" t="str">
        <f>IF(COUNTIF('Pull Data'!B$2:B$1000, A248) &gt; 0, A248, "")</f>
        <v/>
      </c>
      <c r="C248" t="str">
        <f t="shared" si="6"/>
        <v/>
      </c>
      <c r="F248" t="str">
        <f>IF(COUNTIF('Pull Data'!C$2:C$1000, E248) &gt; 0, E248, "")</f>
        <v/>
      </c>
      <c r="G248" t="str">
        <f t="shared" si="7"/>
        <v/>
      </c>
    </row>
    <row r="249" spans="2:7" x14ac:dyDescent="0.25">
      <c r="B249" t="str">
        <f>IF(COUNTIF('Pull Data'!B$2:B$1000, A249) &gt; 0, A249, "")</f>
        <v/>
      </c>
      <c r="C249" t="str">
        <f t="shared" si="6"/>
        <v/>
      </c>
      <c r="F249" t="str">
        <f>IF(COUNTIF('Pull Data'!C$2:C$1000, E249) &gt; 0, E249, "")</f>
        <v/>
      </c>
      <c r="G249" t="str">
        <f t="shared" si="7"/>
        <v/>
      </c>
    </row>
    <row r="250" spans="2:7" x14ac:dyDescent="0.25">
      <c r="B250" t="str">
        <f>IF(COUNTIF('Pull Data'!B$2:B$1000, A250) &gt; 0, A250, "")</f>
        <v/>
      </c>
      <c r="C250" t="str">
        <f t="shared" si="6"/>
        <v/>
      </c>
      <c r="F250" t="str">
        <f>IF(COUNTIF('Pull Data'!C$2:C$1000, E250) &gt; 0, E250, "")</f>
        <v/>
      </c>
      <c r="G250" t="str">
        <f t="shared" si="7"/>
        <v/>
      </c>
    </row>
    <row r="251" spans="2:7" x14ac:dyDescent="0.25">
      <c r="B251" t="str">
        <f>IF(COUNTIF('Pull Data'!B$2:B$1000, A251) &gt; 0, A251, "")</f>
        <v/>
      </c>
      <c r="C251" t="str">
        <f t="shared" si="6"/>
        <v/>
      </c>
      <c r="F251" t="str">
        <f>IF(COUNTIF('Pull Data'!C$2:C$1000, E251) &gt; 0, E251, "")</f>
        <v/>
      </c>
      <c r="G251" t="str">
        <f t="shared" si="7"/>
        <v/>
      </c>
    </row>
    <row r="252" spans="2:7" x14ac:dyDescent="0.25">
      <c r="B252" t="str">
        <f>IF(COUNTIF('Pull Data'!B$2:B$1000, A252) &gt; 0, A252, "")</f>
        <v/>
      </c>
      <c r="C252" t="str">
        <f t="shared" si="6"/>
        <v/>
      </c>
      <c r="F252" t="str">
        <f>IF(COUNTIF('Pull Data'!C$2:C$1000, E252) &gt; 0, E252, "")</f>
        <v/>
      </c>
      <c r="G252" t="str">
        <f t="shared" si="7"/>
        <v/>
      </c>
    </row>
    <row r="253" spans="2:7" x14ac:dyDescent="0.25">
      <c r="B253" t="str">
        <f>IF(COUNTIF('Pull Data'!B$2:B$1000, A253) &gt; 0, A253, "")</f>
        <v/>
      </c>
      <c r="C253" t="str">
        <f t="shared" si="6"/>
        <v/>
      </c>
      <c r="F253" t="str">
        <f>IF(COUNTIF('Pull Data'!C$2:C$1000, E253) &gt; 0, E253, "")</f>
        <v/>
      </c>
      <c r="G253" t="str">
        <f t="shared" si="7"/>
        <v/>
      </c>
    </row>
    <row r="254" spans="2:7" x14ac:dyDescent="0.25">
      <c r="B254" t="str">
        <f>IF(COUNTIF('Pull Data'!B$2:B$1000, A254) &gt; 0, A254, "")</f>
        <v/>
      </c>
      <c r="C254" t="str">
        <f t="shared" si="6"/>
        <v/>
      </c>
      <c r="F254" t="str">
        <f>IF(COUNTIF('Pull Data'!C$2:C$1000, E254) &gt; 0, E254, "")</f>
        <v/>
      </c>
      <c r="G254" t="str">
        <f t="shared" si="7"/>
        <v/>
      </c>
    </row>
    <row r="255" spans="2:7" x14ac:dyDescent="0.25">
      <c r="B255" t="str">
        <f>IF(COUNTIF('Pull Data'!B$2:B$1000, A255) &gt; 0, A255, "")</f>
        <v/>
      </c>
      <c r="C255" t="str">
        <f t="shared" si="6"/>
        <v/>
      </c>
      <c r="F255" t="str">
        <f>IF(COUNTIF('Pull Data'!C$2:C$1000, E255) &gt; 0, E255, "")</f>
        <v/>
      </c>
      <c r="G255" t="str">
        <f t="shared" si="7"/>
        <v/>
      </c>
    </row>
    <row r="256" spans="2:7" x14ac:dyDescent="0.25">
      <c r="B256" t="str">
        <f>IF(COUNTIF('Pull Data'!B$2:B$1000, A256) &gt; 0, A256, "")</f>
        <v/>
      </c>
      <c r="C256" t="str">
        <f t="shared" si="6"/>
        <v/>
      </c>
      <c r="F256" t="str">
        <f>IF(COUNTIF('Pull Data'!C$2:C$1000, E256) &gt; 0, E256, "")</f>
        <v/>
      </c>
      <c r="G256" t="str">
        <f t="shared" si="7"/>
        <v/>
      </c>
    </row>
    <row r="257" spans="2:7" x14ac:dyDescent="0.25">
      <c r="B257" t="str">
        <f>IF(COUNTIF('Pull Data'!B$2:B$1000, A257) &gt; 0, A257, "")</f>
        <v/>
      </c>
      <c r="C257" t="str">
        <f t="shared" si="6"/>
        <v/>
      </c>
      <c r="F257" t="str">
        <f>IF(COUNTIF('Pull Data'!C$2:C$1000, E257) &gt; 0, E257, "")</f>
        <v/>
      </c>
      <c r="G257" t="str">
        <f t="shared" si="7"/>
        <v/>
      </c>
    </row>
    <row r="258" spans="2:7" x14ac:dyDescent="0.25">
      <c r="B258" t="str">
        <f>IF(COUNTIF('Pull Data'!B$2:B$1000, A258) &gt; 0, A258, "")</f>
        <v/>
      </c>
      <c r="C258" t="str">
        <f t="shared" si="6"/>
        <v/>
      </c>
      <c r="F258" t="str">
        <f>IF(COUNTIF('Pull Data'!C$2:C$1000, E258) &gt; 0, E258, "")</f>
        <v/>
      </c>
      <c r="G258" t="str">
        <f t="shared" si="7"/>
        <v/>
      </c>
    </row>
    <row r="259" spans="2:7" x14ac:dyDescent="0.25">
      <c r="B259" t="str">
        <f>IF(COUNTIF('Pull Data'!B$2:B$1000, A259) &gt; 0, A259, "")</f>
        <v/>
      </c>
      <c r="C259" t="str">
        <f t="shared" ref="C259:C322" si="8">IF(AND(A259="", B259=""), "", IF(A259&lt;&gt;B259, "Custodian Does Not Appear in Data", "Custodian Appears in Data"))</f>
        <v/>
      </c>
      <c r="F259" t="str">
        <f>IF(COUNTIF('Pull Data'!C$2:C$1000, E259) &gt; 0, E259, "")</f>
        <v/>
      </c>
      <c r="G259" t="str">
        <f t="shared" ref="G259:G322" si="9">IF(AND(E259="", F259=""), "", IF(E259&lt;&gt;F259, "c/o Does Not Appear in Data", "c/o Appears in Data"))</f>
        <v/>
      </c>
    </row>
    <row r="260" spans="2:7" x14ac:dyDescent="0.25">
      <c r="B260" t="str">
        <f>IF(COUNTIF('Pull Data'!B$2:B$1000, A260) &gt; 0, A260, "")</f>
        <v/>
      </c>
      <c r="C260" t="str">
        <f t="shared" si="8"/>
        <v/>
      </c>
      <c r="F260" t="str">
        <f>IF(COUNTIF('Pull Data'!C$2:C$1000, E260) &gt; 0, E260, "")</f>
        <v/>
      </c>
      <c r="G260" t="str">
        <f t="shared" si="9"/>
        <v/>
      </c>
    </row>
    <row r="261" spans="2:7" x14ac:dyDescent="0.25">
      <c r="B261" t="str">
        <f>IF(COUNTIF('Pull Data'!B$2:B$1000, A261) &gt; 0, A261, "")</f>
        <v/>
      </c>
      <c r="C261" t="str">
        <f t="shared" si="8"/>
        <v/>
      </c>
      <c r="F261" t="str">
        <f>IF(COUNTIF('Pull Data'!C$2:C$1000, E261) &gt; 0, E261, "")</f>
        <v/>
      </c>
      <c r="G261" t="str">
        <f t="shared" si="9"/>
        <v/>
      </c>
    </row>
    <row r="262" spans="2:7" x14ac:dyDescent="0.25">
      <c r="B262" t="str">
        <f>IF(COUNTIF('Pull Data'!B$2:B$1000, A262) &gt; 0, A262, "")</f>
        <v/>
      </c>
      <c r="C262" t="str">
        <f t="shared" si="8"/>
        <v/>
      </c>
      <c r="F262" t="str">
        <f>IF(COUNTIF('Pull Data'!C$2:C$1000, E262) &gt; 0, E262, "")</f>
        <v/>
      </c>
      <c r="G262" t="str">
        <f t="shared" si="9"/>
        <v/>
      </c>
    </row>
    <row r="263" spans="2:7" x14ac:dyDescent="0.25">
      <c r="B263" t="str">
        <f>IF(COUNTIF('Pull Data'!B$2:B$1000, A263) &gt; 0, A263, "")</f>
        <v/>
      </c>
      <c r="C263" t="str">
        <f t="shared" si="8"/>
        <v/>
      </c>
      <c r="F263" t="str">
        <f>IF(COUNTIF('Pull Data'!C$2:C$1000, E263) &gt; 0, E263, "")</f>
        <v/>
      </c>
      <c r="G263" t="str">
        <f t="shared" si="9"/>
        <v/>
      </c>
    </row>
    <row r="264" spans="2:7" x14ac:dyDescent="0.25">
      <c r="B264" t="str">
        <f>IF(COUNTIF('Pull Data'!B$2:B$1000, A264) &gt; 0, A264, "")</f>
        <v/>
      </c>
      <c r="C264" t="str">
        <f t="shared" si="8"/>
        <v/>
      </c>
      <c r="F264" t="str">
        <f>IF(COUNTIF('Pull Data'!C$2:C$1000, E264) &gt; 0, E264, "")</f>
        <v/>
      </c>
      <c r="G264" t="str">
        <f t="shared" si="9"/>
        <v/>
      </c>
    </row>
    <row r="265" spans="2:7" x14ac:dyDescent="0.25">
      <c r="B265" t="str">
        <f>IF(COUNTIF('Pull Data'!B$2:B$1000, A265) &gt; 0, A265, "")</f>
        <v/>
      </c>
      <c r="C265" t="str">
        <f t="shared" si="8"/>
        <v/>
      </c>
      <c r="F265" t="str">
        <f>IF(COUNTIF('Pull Data'!C$2:C$1000, E265) &gt; 0, E265, "")</f>
        <v/>
      </c>
      <c r="G265" t="str">
        <f t="shared" si="9"/>
        <v/>
      </c>
    </row>
    <row r="266" spans="2:7" x14ac:dyDescent="0.25">
      <c r="B266" t="str">
        <f>IF(COUNTIF('Pull Data'!B$2:B$1000, A266) &gt; 0, A266, "")</f>
        <v/>
      </c>
      <c r="C266" t="str">
        <f t="shared" si="8"/>
        <v/>
      </c>
      <c r="F266" t="str">
        <f>IF(COUNTIF('Pull Data'!C$2:C$1000, E266) &gt; 0, E266, "")</f>
        <v/>
      </c>
      <c r="G266" t="str">
        <f t="shared" si="9"/>
        <v/>
      </c>
    </row>
    <row r="267" spans="2:7" x14ac:dyDescent="0.25">
      <c r="B267" t="str">
        <f>IF(COUNTIF('Pull Data'!B$2:B$1000, A267) &gt; 0, A267, "")</f>
        <v/>
      </c>
      <c r="C267" t="str">
        <f t="shared" si="8"/>
        <v/>
      </c>
      <c r="F267" t="str">
        <f>IF(COUNTIF('Pull Data'!C$2:C$1000, E267) &gt; 0, E267, "")</f>
        <v/>
      </c>
      <c r="G267" t="str">
        <f t="shared" si="9"/>
        <v/>
      </c>
    </row>
    <row r="268" spans="2:7" x14ac:dyDescent="0.25">
      <c r="B268" t="str">
        <f>IF(COUNTIF('Pull Data'!B$2:B$1000, A268) &gt; 0, A268, "")</f>
        <v/>
      </c>
      <c r="C268" t="str">
        <f t="shared" si="8"/>
        <v/>
      </c>
      <c r="F268" t="str">
        <f>IF(COUNTIF('Pull Data'!C$2:C$1000, E268) &gt; 0, E268, "")</f>
        <v/>
      </c>
      <c r="G268" t="str">
        <f t="shared" si="9"/>
        <v/>
      </c>
    </row>
    <row r="269" spans="2:7" x14ac:dyDescent="0.25">
      <c r="B269" t="str">
        <f>IF(COUNTIF('Pull Data'!B$2:B$1000, A269) &gt; 0, A269, "")</f>
        <v/>
      </c>
      <c r="C269" t="str">
        <f t="shared" si="8"/>
        <v/>
      </c>
      <c r="F269" t="str">
        <f>IF(COUNTIF('Pull Data'!C$2:C$1000, E269) &gt; 0, E269, "")</f>
        <v/>
      </c>
      <c r="G269" t="str">
        <f t="shared" si="9"/>
        <v/>
      </c>
    </row>
    <row r="270" spans="2:7" x14ac:dyDescent="0.25">
      <c r="B270" t="str">
        <f>IF(COUNTIF('Pull Data'!B$2:B$1000, A270) &gt; 0, A270, "")</f>
        <v/>
      </c>
      <c r="C270" t="str">
        <f t="shared" si="8"/>
        <v/>
      </c>
      <c r="F270" t="str">
        <f>IF(COUNTIF('Pull Data'!C$2:C$1000, E270) &gt; 0, E270, "")</f>
        <v/>
      </c>
      <c r="G270" t="str">
        <f t="shared" si="9"/>
        <v/>
      </c>
    </row>
    <row r="271" spans="2:7" x14ac:dyDescent="0.25">
      <c r="B271" t="str">
        <f>IF(COUNTIF('Pull Data'!B$2:B$1000, A271) &gt; 0, A271, "")</f>
        <v/>
      </c>
      <c r="C271" t="str">
        <f t="shared" si="8"/>
        <v/>
      </c>
      <c r="F271" t="str">
        <f>IF(COUNTIF('Pull Data'!C$2:C$1000, E271) &gt; 0, E271, "")</f>
        <v/>
      </c>
      <c r="G271" t="str">
        <f t="shared" si="9"/>
        <v/>
      </c>
    </row>
    <row r="272" spans="2:7" x14ac:dyDescent="0.25">
      <c r="B272" t="str">
        <f>IF(COUNTIF('Pull Data'!B$2:B$1000, A272) &gt; 0, A272, "")</f>
        <v/>
      </c>
      <c r="C272" t="str">
        <f t="shared" si="8"/>
        <v/>
      </c>
      <c r="F272" t="str">
        <f>IF(COUNTIF('Pull Data'!C$2:C$1000, E272) &gt; 0, E272, "")</f>
        <v/>
      </c>
      <c r="G272" t="str">
        <f t="shared" si="9"/>
        <v/>
      </c>
    </row>
    <row r="273" spans="2:7" x14ac:dyDescent="0.25">
      <c r="B273" t="str">
        <f>IF(COUNTIF('Pull Data'!B$2:B$1000, A273) &gt; 0, A273, "")</f>
        <v/>
      </c>
      <c r="C273" t="str">
        <f t="shared" si="8"/>
        <v/>
      </c>
      <c r="F273" t="str">
        <f>IF(COUNTIF('Pull Data'!C$2:C$1000, E273) &gt; 0, E273, "")</f>
        <v/>
      </c>
      <c r="G273" t="str">
        <f t="shared" si="9"/>
        <v/>
      </c>
    </row>
    <row r="274" spans="2:7" x14ac:dyDescent="0.25">
      <c r="B274" t="str">
        <f>IF(COUNTIF('Pull Data'!B$2:B$1000, A274) &gt; 0, A274, "")</f>
        <v/>
      </c>
      <c r="C274" t="str">
        <f t="shared" si="8"/>
        <v/>
      </c>
      <c r="F274" t="str">
        <f>IF(COUNTIF('Pull Data'!C$2:C$1000, E274) &gt; 0, E274, "")</f>
        <v/>
      </c>
      <c r="G274" t="str">
        <f t="shared" si="9"/>
        <v/>
      </c>
    </row>
    <row r="275" spans="2:7" x14ac:dyDescent="0.25">
      <c r="B275" t="str">
        <f>IF(COUNTIF('Pull Data'!B$2:B$1000, A275) &gt; 0, A275, "")</f>
        <v/>
      </c>
      <c r="C275" t="str">
        <f t="shared" si="8"/>
        <v/>
      </c>
      <c r="F275" t="str">
        <f>IF(COUNTIF('Pull Data'!C$2:C$1000, E275) &gt; 0, E275, "")</f>
        <v/>
      </c>
      <c r="G275" t="str">
        <f t="shared" si="9"/>
        <v/>
      </c>
    </row>
    <row r="276" spans="2:7" x14ac:dyDescent="0.25">
      <c r="B276" t="str">
        <f>IF(COUNTIF('Pull Data'!B$2:B$1000, A276) &gt; 0, A276, "")</f>
        <v/>
      </c>
      <c r="C276" t="str">
        <f t="shared" si="8"/>
        <v/>
      </c>
      <c r="F276" t="str">
        <f>IF(COUNTIF('Pull Data'!C$2:C$1000, E276) &gt; 0, E276, "")</f>
        <v/>
      </c>
      <c r="G276" t="str">
        <f t="shared" si="9"/>
        <v/>
      </c>
    </row>
    <row r="277" spans="2:7" x14ac:dyDescent="0.25">
      <c r="B277" t="str">
        <f>IF(COUNTIF('Pull Data'!B$2:B$1000, A277) &gt; 0, A277, "")</f>
        <v/>
      </c>
      <c r="C277" t="str">
        <f t="shared" si="8"/>
        <v/>
      </c>
      <c r="F277" t="str">
        <f>IF(COUNTIF('Pull Data'!C$2:C$1000, E277) &gt; 0, E277, "")</f>
        <v/>
      </c>
      <c r="G277" t="str">
        <f t="shared" si="9"/>
        <v/>
      </c>
    </row>
    <row r="278" spans="2:7" x14ac:dyDescent="0.25">
      <c r="B278" t="str">
        <f>IF(COUNTIF('Pull Data'!B$2:B$1000, A278) &gt; 0, A278, "")</f>
        <v/>
      </c>
      <c r="C278" t="str">
        <f t="shared" si="8"/>
        <v/>
      </c>
      <c r="F278" t="str">
        <f>IF(COUNTIF('Pull Data'!C$2:C$1000, E278) &gt; 0, E278, "")</f>
        <v/>
      </c>
      <c r="G278" t="str">
        <f t="shared" si="9"/>
        <v/>
      </c>
    </row>
    <row r="279" spans="2:7" x14ac:dyDescent="0.25">
      <c r="B279" t="str">
        <f>IF(COUNTIF('Pull Data'!B$2:B$1000, A279) &gt; 0, A279, "")</f>
        <v/>
      </c>
      <c r="C279" t="str">
        <f t="shared" si="8"/>
        <v/>
      </c>
      <c r="F279" t="str">
        <f>IF(COUNTIF('Pull Data'!C$2:C$1000, E279) &gt; 0, E279, "")</f>
        <v/>
      </c>
      <c r="G279" t="str">
        <f t="shared" si="9"/>
        <v/>
      </c>
    </row>
    <row r="280" spans="2:7" x14ac:dyDescent="0.25">
      <c r="B280" t="str">
        <f>IF(COUNTIF('Pull Data'!B$2:B$1000, A280) &gt; 0, A280, "")</f>
        <v/>
      </c>
      <c r="C280" t="str">
        <f t="shared" si="8"/>
        <v/>
      </c>
      <c r="F280" t="str">
        <f>IF(COUNTIF('Pull Data'!C$2:C$1000, E280) &gt; 0, E280, "")</f>
        <v/>
      </c>
      <c r="G280" t="str">
        <f t="shared" si="9"/>
        <v/>
      </c>
    </row>
    <row r="281" spans="2:7" x14ac:dyDescent="0.25">
      <c r="B281" t="str">
        <f>IF(COUNTIF('Pull Data'!B$2:B$1000, A281) &gt; 0, A281, "")</f>
        <v/>
      </c>
      <c r="C281" t="str">
        <f t="shared" si="8"/>
        <v/>
      </c>
      <c r="F281" t="str">
        <f>IF(COUNTIF('Pull Data'!C$2:C$1000, E281) &gt; 0, E281, "")</f>
        <v/>
      </c>
      <c r="G281" t="str">
        <f t="shared" si="9"/>
        <v/>
      </c>
    </row>
    <row r="282" spans="2:7" x14ac:dyDescent="0.25">
      <c r="B282" t="str">
        <f>IF(COUNTIF('Pull Data'!B$2:B$1000, A282) &gt; 0, A282, "")</f>
        <v/>
      </c>
      <c r="C282" t="str">
        <f t="shared" si="8"/>
        <v/>
      </c>
      <c r="F282" t="str">
        <f>IF(COUNTIF('Pull Data'!C$2:C$1000, E282) &gt; 0, E282, "")</f>
        <v/>
      </c>
      <c r="G282" t="str">
        <f t="shared" si="9"/>
        <v/>
      </c>
    </row>
    <row r="283" spans="2:7" x14ac:dyDescent="0.25">
      <c r="B283" t="str">
        <f>IF(COUNTIF('Pull Data'!B$2:B$1000, A283) &gt; 0, A283, "")</f>
        <v/>
      </c>
      <c r="C283" t="str">
        <f t="shared" si="8"/>
        <v/>
      </c>
      <c r="F283" t="str">
        <f>IF(COUNTIF('Pull Data'!C$2:C$1000, E283) &gt; 0, E283, "")</f>
        <v/>
      </c>
      <c r="G283" t="str">
        <f t="shared" si="9"/>
        <v/>
      </c>
    </row>
    <row r="284" spans="2:7" x14ac:dyDescent="0.25">
      <c r="B284" t="str">
        <f>IF(COUNTIF('Pull Data'!B$2:B$1000, A284) &gt; 0, A284, "")</f>
        <v/>
      </c>
      <c r="C284" t="str">
        <f t="shared" si="8"/>
        <v/>
      </c>
      <c r="F284" t="str">
        <f>IF(COUNTIF('Pull Data'!C$2:C$1000, E284) &gt; 0, E284, "")</f>
        <v/>
      </c>
      <c r="G284" t="str">
        <f t="shared" si="9"/>
        <v/>
      </c>
    </row>
    <row r="285" spans="2:7" x14ac:dyDescent="0.25">
      <c r="B285" t="str">
        <f>IF(COUNTIF('Pull Data'!B$2:B$1000, A285) &gt; 0, A285, "")</f>
        <v/>
      </c>
      <c r="C285" t="str">
        <f t="shared" si="8"/>
        <v/>
      </c>
      <c r="F285" t="str">
        <f>IF(COUNTIF('Pull Data'!C$2:C$1000, E285) &gt; 0, E285, "")</f>
        <v/>
      </c>
      <c r="G285" t="str">
        <f t="shared" si="9"/>
        <v/>
      </c>
    </row>
    <row r="286" spans="2:7" x14ac:dyDescent="0.25">
      <c r="B286" t="str">
        <f>IF(COUNTIF('Pull Data'!B$2:B$1000, A286) &gt; 0, A286, "")</f>
        <v/>
      </c>
      <c r="C286" t="str">
        <f t="shared" si="8"/>
        <v/>
      </c>
      <c r="F286" t="str">
        <f>IF(COUNTIF('Pull Data'!C$2:C$1000, E286) &gt; 0, E286, "")</f>
        <v/>
      </c>
      <c r="G286" t="str">
        <f t="shared" si="9"/>
        <v/>
      </c>
    </row>
    <row r="287" spans="2:7" x14ac:dyDescent="0.25">
      <c r="B287" t="str">
        <f>IF(COUNTIF('Pull Data'!B$2:B$1000, A287) &gt; 0, A287, "")</f>
        <v/>
      </c>
      <c r="C287" t="str">
        <f t="shared" si="8"/>
        <v/>
      </c>
      <c r="F287" t="str">
        <f>IF(COUNTIF('Pull Data'!C$2:C$1000, E287) &gt; 0, E287, "")</f>
        <v/>
      </c>
      <c r="G287" t="str">
        <f t="shared" si="9"/>
        <v/>
      </c>
    </row>
    <row r="288" spans="2:7" x14ac:dyDescent="0.25">
      <c r="B288" t="str">
        <f>IF(COUNTIF('Pull Data'!B$2:B$1000, A288) &gt; 0, A288, "")</f>
        <v/>
      </c>
      <c r="C288" t="str">
        <f t="shared" si="8"/>
        <v/>
      </c>
      <c r="F288" t="str">
        <f>IF(COUNTIF('Pull Data'!C$2:C$1000, E288) &gt; 0, E288, "")</f>
        <v/>
      </c>
      <c r="G288" t="str">
        <f t="shared" si="9"/>
        <v/>
      </c>
    </row>
    <row r="289" spans="2:7" x14ac:dyDescent="0.25">
      <c r="B289" t="str">
        <f>IF(COUNTIF('Pull Data'!B$2:B$1000, A289) &gt; 0, A289, "")</f>
        <v/>
      </c>
      <c r="C289" t="str">
        <f t="shared" si="8"/>
        <v/>
      </c>
      <c r="F289" t="str">
        <f>IF(COUNTIF('Pull Data'!C$2:C$1000, E289) &gt; 0, E289, "")</f>
        <v/>
      </c>
      <c r="G289" t="str">
        <f t="shared" si="9"/>
        <v/>
      </c>
    </row>
    <row r="290" spans="2:7" x14ac:dyDescent="0.25">
      <c r="B290" t="str">
        <f>IF(COUNTIF('Pull Data'!B$2:B$1000, A290) &gt; 0, A290, "")</f>
        <v/>
      </c>
      <c r="C290" t="str">
        <f t="shared" si="8"/>
        <v/>
      </c>
      <c r="F290" t="str">
        <f>IF(COUNTIF('Pull Data'!C$2:C$1000, E290) &gt; 0, E290, "")</f>
        <v/>
      </c>
      <c r="G290" t="str">
        <f t="shared" si="9"/>
        <v/>
      </c>
    </row>
    <row r="291" spans="2:7" x14ac:dyDescent="0.25">
      <c r="B291" t="str">
        <f>IF(COUNTIF('Pull Data'!B$2:B$1000, A291) &gt; 0, A291, "")</f>
        <v/>
      </c>
      <c r="C291" t="str">
        <f t="shared" si="8"/>
        <v/>
      </c>
      <c r="F291" t="str">
        <f>IF(COUNTIF('Pull Data'!C$2:C$1000, E291) &gt; 0, E291, "")</f>
        <v/>
      </c>
      <c r="G291" t="str">
        <f t="shared" si="9"/>
        <v/>
      </c>
    </row>
    <row r="292" spans="2:7" x14ac:dyDescent="0.25">
      <c r="B292" t="str">
        <f>IF(COUNTIF('Pull Data'!B$2:B$1000, A292) &gt; 0, A292, "")</f>
        <v/>
      </c>
      <c r="C292" t="str">
        <f t="shared" si="8"/>
        <v/>
      </c>
      <c r="F292" t="str">
        <f>IF(COUNTIF('Pull Data'!C$2:C$1000, E292) &gt; 0, E292, "")</f>
        <v/>
      </c>
      <c r="G292" t="str">
        <f t="shared" si="9"/>
        <v/>
      </c>
    </row>
    <row r="293" spans="2:7" x14ac:dyDescent="0.25">
      <c r="B293" t="str">
        <f>IF(COUNTIF('Pull Data'!B$2:B$1000, A293) &gt; 0, A293, "")</f>
        <v/>
      </c>
      <c r="C293" t="str">
        <f t="shared" si="8"/>
        <v/>
      </c>
      <c r="F293" t="str">
        <f>IF(COUNTIF('Pull Data'!C$2:C$1000, E293) &gt; 0, E293, "")</f>
        <v/>
      </c>
      <c r="G293" t="str">
        <f t="shared" si="9"/>
        <v/>
      </c>
    </row>
    <row r="294" spans="2:7" x14ac:dyDescent="0.25">
      <c r="B294" t="str">
        <f>IF(COUNTIF('Pull Data'!B$2:B$1000, A294) &gt; 0, A294, "")</f>
        <v/>
      </c>
      <c r="C294" t="str">
        <f t="shared" si="8"/>
        <v/>
      </c>
      <c r="F294" t="str">
        <f>IF(COUNTIF('Pull Data'!C$2:C$1000, E294) &gt; 0, E294, "")</f>
        <v/>
      </c>
      <c r="G294" t="str">
        <f t="shared" si="9"/>
        <v/>
      </c>
    </row>
    <row r="295" spans="2:7" x14ac:dyDescent="0.25">
      <c r="B295" t="str">
        <f>IF(COUNTIF('Pull Data'!B$2:B$1000, A295) &gt; 0, A295, "")</f>
        <v/>
      </c>
      <c r="C295" t="str">
        <f t="shared" si="8"/>
        <v/>
      </c>
      <c r="F295" t="str">
        <f>IF(COUNTIF('Pull Data'!C$2:C$1000, E295) &gt; 0, E295, "")</f>
        <v/>
      </c>
      <c r="G295" t="str">
        <f t="shared" si="9"/>
        <v/>
      </c>
    </row>
    <row r="296" spans="2:7" x14ac:dyDescent="0.25">
      <c r="B296" t="str">
        <f>IF(COUNTIF('Pull Data'!B$2:B$1000, A296) &gt; 0, A296, "")</f>
        <v/>
      </c>
      <c r="C296" t="str">
        <f t="shared" si="8"/>
        <v/>
      </c>
      <c r="F296" t="str">
        <f>IF(COUNTIF('Pull Data'!C$2:C$1000, E296) &gt; 0, E296, "")</f>
        <v/>
      </c>
      <c r="G296" t="str">
        <f t="shared" si="9"/>
        <v/>
      </c>
    </row>
    <row r="297" spans="2:7" x14ac:dyDescent="0.25">
      <c r="B297" t="str">
        <f>IF(COUNTIF('Pull Data'!B$2:B$1000, A297) &gt; 0, A297, "")</f>
        <v/>
      </c>
      <c r="C297" t="str">
        <f t="shared" si="8"/>
        <v/>
      </c>
      <c r="F297" t="str">
        <f>IF(COUNTIF('Pull Data'!C$2:C$1000, E297) &gt; 0, E297, "")</f>
        <v/>
      </c>
      <c r="G297" t="str">
        <f t="shared" si="9"/>
        <v/>
      </c>
    </row>
    <row r="298" spans="2:7" x14ac:dyDescent="0.25">
      <c r="B298" t="str">
        <f>IF(COUNTIF('Pull Data'!B$2:B$1000, A298) &gt; 0, A298, "")</f>
        <v/>
      </c>
      <c r="C298" t="str">
        <f t="shared" si="8"/>
        <v/>
      </c>
      <c r="F298" t="str">
        <f>IF(COUNTIF('Pull Data'!C$2:C$1000, E298) &gt; 0, E298, "")</f>
        <v/>
      </c>
      <c r="G298" t="str">
        <f t="shared" si="9"/>
        <v/>
      </c>
    </row>
    <row r="299" spans="2:7" x14ac:dyDescent="0.25">
      <c r="B299" t="str">
        <f>IF(COUNTIF('Pull Data'!B$2:B$1000, A299) &gt; 0, A299, "")</f>
        <v/>
      </c>
      <c r="C299" t="str">
        <f t="shared" si="8"/>
        <v/>
      </c>
      <c r="F299" t="str">
        <f>IF(COUNTIF('Pull Data'!C$2:C$1000, E299) &gt; 0, E299, "")</f>
        <v/>
      </c>
      <c r="G299" t="str">
        <f t="shared" si="9"/>
        <v/>
      </c>
    </row>
    <row r="300" spans="2:7" x14ac:dyDescent="0.25">
      <c r="B300" t="str">
        <f>IF(COUNTIF('Pull Data'!B$2:B$1000, A300) &gt; 0, A300, "")</f>
        <v/>
      </c>
      <c r="C300" t="str">
        <f t="shared" si="8"/>
        <v/>
      </c>
      <c r="F300" t="str">
        <f>IF(COUNTIF('Pull Data'!C$2:C$1000, E300) &gt; 0, E300, "")</f>
        <v/>
      </c>
      <c r="G300" t="str">
        <f t="shared" si="9"/>
        <v/>
      </c>
    </row>
    <row r="301" spans="2:7" x14ac:dyDescent="0.25">
      <c r="B301" t="str">
        <f>IF(COUNTIF('Pull Data'!B$2:B$1000, A301) &gt; 0, A301, "")</f>
        <v/>
      </c>
      <c r="C301" t="str">
        <f t="shared" si="8"/>
        <v/>
      </c>
      <c r="F301" t="str">
        <f>IF(COUNTIF('Pull Data'!C$2:C$1000, E301) &gt; 0, E301, "")</f>
        <v/>
      </c>
      <c r="G301" t="str">
        <f t="shared" si="9"/>
        <v/>
      </c>
    </row>
    <row r="302" spans="2:7" x14ac:dyDescent="0.25">
      <c r="B302" t="str">
        <f>IF(COUNTIF('Pull Data'!B$2:B$1000, A302) &gt; 0, A302, "")</f>
        <v/>
      </c>
      <c r="C302" t="str">
        <f t="shared" si="8"/>
        <v/>
      </c>
      <c r="F302" t="str">
        <f>IF(COUNTIF('Pull Data'!C$2:C$1000, E302) &gt; 0, E302, "")</f>
        <v/>
      </c>
      <c r="G302" t="str">
        <f t="shared" si="9"/>
        <v/>
      </c>
    </row>
    <row r="303" spans="2:7" x14ac:dyDescent="0.25">
      <c r="B303" t="str">
        <f>IF(COUNTIF('Pull Data'!B$2:B$1000, A303) &gt; 0, A303, "")</f>
        <v/>
      </c>
      <c r="C303" t="str">
        <f t="shared" si="8"/>
        <v/>
      </c>
      <c r="F303" t="str">
        <f>IF(COUNTIF('Pull Data'!C$2:C$1000, E303) &gt; 0, E303, "")</f>
        <v/>
      </c>
      <c r="G303" t="str">
        <f t="shared" si="9"/>
        <v/>
      </c>
    </row>
    <row r="304" spans="2:7" x14ac:dyDescent="0.25">
      <c r="B304" t="str">
        <f>IF(COUNTIF('Pull Data'!B$2:B$1000, A304) &gt; 0, A304, "")</f>
        <v/>
      </c>
      <c r="C304" t="str">
        <f t="shared" si="8"/>
        <v/>
      </c>
      <c r="F304" t="str">
        <f>IF(COUNTIF('Pull Data'!C$2:C$1000, E304) &gt; 0, E304, "")</f>
        <v/>
      </c>
      <c r="G304" t="str">
        <f t="shared" si="9"/>
        <v/>
      </c>
    </row>
    <row r="305" spans="2:7" x14ac:dyDescent="0.25">
      <c r="B305" t="str">
        <f>IF(COUNTIF('Pull Data'!B$2:B$1000, A305) &gt; 0, A305, "")</f>
        <v/>
      </c>
      <c r="C305" t="str">
        <f t="shared" si="8"/>
        <v/>
      </c>
      <c r="F305" t="str">
        <f>IF(COUNTIF('Pull Data'!C$2:C$1000, E305) &gt; 0, E305, "")</f>
        <v/>
      </c>
      <c r="G305" t="str">
        <f t="shared" si="9"/>
        <v/>
      </c>
    </row>
    <row r="306" spans="2:7" x14ac:dyDescent="0.25">
      <c r="B306" t="str">
        <f>IF(COUNTIF('Pull Data'!B$2:B$1000, A306) &gt; 0, A306, "")</f>
        <v/>
      </c>
      <c r="C306" t="str">
        <f t="shared" si="8"/>
        <v/>
      </c>
      <c r="F306" t="str">
        <f>IF(COUNTIF('Pull Data'!C$2:C$1000, E306) &gt; 0, E306, "")</f>
        <v/>
      </c>
      <c r="G306" t="str">
        <f t="shared" si="9"/>
        <v/>
      </c>
    </row>
    <row r="307" spans="2:7" x14ac:dyDescent="0.25">
      <c r="B307" t="str">
        <f>IF(COUNTIF('Pull Data'!B$2:B$1000, A307) &gt; 0, A307, "")</f>
        <v/>
      </c>
      <c r="C307" t="str">
        <f t="shared" si="8"/>
        <v/>
      </c>
      <c r="F307" t="str">
        <f>IF(COUNTIF('Pull Data'!C$2:C$1000, E307) &gt; 0, E307, "")</f>
        <v/>
      </c>
      <c r="G307" t="str">
        <f t="shared" si="9"/>
        <v/>
      </c>
    </row>
    <row r="308" spans="2:7" x14ac:dyDescent="0.25">
      <c r="B308" t="str">
        <f>IF(COUNTIF('Pull Data'!B$2:B$1000, A308) &gt; 0, A308, "")</f>
        <v/>
      </c>
      <c r="C308" t="str">
        <f t="shared" si="8"/>
        <v/>
      </c>
      <c r="F308" t="str">
        <f>IF(COUNTIF('Pull Data'!C$2:C$1000, E308) &gt; 0, E308, "")</f>
        <v/>
      </c>
      <c r="G308" t="str">
        <f t="shared" si="9"/>
        <v/>
      </c>
    </row>
    <row r="309" spans="2:7" x14ac:dyDescent="0.25">
      <c r="B309" t="str">
        <f>IF(COUNTIF('Pull Data'!B$2:B$1000, A309) &gt; 0, A309, "")</f>
        <v/>
      </c>
      <c r="C309" t="str">
        <f t="shared" si="8"/>
        <v/>
      </c>
      <c r="F309" t="str">
        <f>IF(COUNTIF('Pull Data'!C$2:C$1000, E309) &gt; 0, E309, "")</f>
        <v/>
      </c>
      <c r="G309" t="str">
        <f t="shared" si="9"/>
        <v/>
      </c>
    </row>
    <row r="310" spans="2:7" x14ac:dyDescent="0.25">
      <c r="B310" t="str">
        <f>IF(COUNTIF('Pull Data'!B$2:B$1000, A310) &gt; 0, A310, "")</f>
        <v/>
      </c>
      <c r="C310" t="str">
        <f t="shared" si="8"/>
        <v/>
      </c>
      <c r="F310" t="str">
        <f>IF(COUNTIF('Pull Data'!C$2:C$1000, E310) &gt; 0, E310, "")</f>
        <v/>
      </c>
      <c r="G310" t="str">
        <f t="shared" si="9"/>
        <v/>
      </c>
    </row>
    <row r="311" spans="2:7" x14ac:dyDescent="0.25">
      <c r="B311" t="str">
        <f>IF(COUNTIF('Pull Data'!B$2:B$1000, A311) &gt; 0, A311, "")</f>
        <v/>
      </c>
      <c r="C311" t="str">
        <f t="shared" si="8"/>
        <v/>
      </c>
      <c r="F311" t="str">
        <f>IF(COUNTIF('Pull Data'!C$2:C$1000, E311) &gt; 0, E311, "")</f>
        <v/>
      </c>
      <c r="G311" t="str">
        <f t="shared" si="9"/>
        <v/>
      </c>
    </row>
    <row r="312" spans="2:7" x14ac:dyDescent="0.25">
      <c r="B312" t="str">
        <f>IF(COUNTIF('Pull Data'!B$2:B$1000, A312) &gt; 0, A312, "")</f>
        <v/>
      </c>
      <c r="C312" t="str">
        <f t="shared" si="8"/>
        <v/>
      </c>
      <c r="F312" t="str">
        <f>IF(COUNTIF('Pull Data'!C$2:C$1000, E312) &gt; 0, E312, "")</f>
        <v/>
      </c>
      <c r="G312" t="str">
        <f t="shared" si="9"/>
        <v/>
      </c>
    </row>
    <row r="313" spans="2:7" x14ac:dyDescent="0.25">
      <c r="B313" t="str">
        <f>IF(COUNTIF('Pull Data'!B$2:B$1000, A313) &gt; 0, A313, "")</f>
        <v/>
      </c>
      <c r="C313" t="str">
        <f t="shared" si="8"/>
        <v/>
      </c>
      <c r="F313" t="str">
        <f>IF(COUNTIF('Pull Data'!C$2:C$1000, E313) &gt; 0, E313, "")</f>
        <v/>
      </c>
      <c r="G313" t="str">
        <f t="shared" si="9"/>
        <v/>
      </c>
    </row>
    <row r="314" spans="2:7" x14ac:dyDescent="0.25">
      <c r="B314" t="str">
        <f>IF(COUNTIF('Pull Data'!B$2:B$1000, A314) &gt; 0, A314, "")</f>
        <v/>
      </c>
      <c r="C314" t="str">
        <f t="shared" si="8"/>
        <v/>
      </c>
      <c r="F314" t="str">
        <f>IF(COUNTIF('Pull Data'!C$2:C$1000, E314) &gt; 0, E314, "")</f>
        <v/>
      </c>
      <c r="G314" t="str">
        <f t="shared" si="9"/>
        <v/>
      </c>
    </row>
    <row r="315" spans="2:7" x14ac:dyDescent="0.25">
      <c r="B315" t="str">
        <f>IF(COUNTIF('Pull Data'!B$2:B$1000, A315) &gt; 0, A315, "")</f>
        <v/>
      </c>
      <c r="C315" t="str">
        <f t="shared" si="8"/>
        <v/>
      </c>
      <c r="F315" t="str">
        <f>IF(COUNTIF('Pull Data'!C$2:C$1000, E315) &gt; 0, E315, "")</f>
        <v/>
      </c>
      <c r="G315" t="str">
        <f t="shared" si="9"/>
        <v/>
      </c>
    </row>
    <row r="316" spans="2:7" x14ac:dyDescent="0.25">
      <c r="B316" t="str">
        <f>IF(COUNTIF('Pull Data'!B$2:B$1000, A316) &gt; 0, A316, "")</f>
        <v/>
      </c>
      <c r="C316" t="str">
        <f t="shared" si="8"/>
        <v/>
      </c>
      <c r="F316" t="str">
        <f>IF(COUNTIF('Pull Data'!C$2:C$1000, E316) &gt; 0, E316, "")</f>
        <v/>
      </c>
      <c r="G316" t="str">
        <f t="shared" si="9"/>
        <v/>
      </c>
    </row>
    <row r="317" spans="2:7" x14ac:dyDescent="0.25">
      <c r="B317" t="str">
        <f>IF(COUNTIF('Pull Data'!B$2:B$1000, A317) &gt; 0, A317, "")</f>
        <v/>
      </c>
      <c r="C317" t="str">
        <f t="shared" si="8"/>
        <v/>
      </c>
      <c r="F317" t="str">
        <f>IF(COUNTIF('Pull Data'!C$2:C$1000, E317) &gt; 0, E317, "")</f>
        <v/>
      </c>
      <c r="G317" t="str">
        <f t="shared" si="9"/>
        <v/>
      </c>
    </row>
    <row r="318" spans="2:7" x14ac:dyDescent="0.25">
      <c r="B318" t="str">
        <f>IF(COUNTIF('Pull Data'!B$2:B$1000, A318) &gt; 0, A318, "")</f>
        <v/>
      </c>
      <c r="C318" t="str">
        <f t="shared" si="8"/>
        <v/>
      </c>
      <c r="F318" t="str">
        <f>IF(COUNTIF('Pull Data'!C$2:C$1000, E318) &gt; 0, E318, "")</f>
        <v/>
      </c>
      <c r="G318" t="str">
        <f t="shared" si="9"/>
        <v/>
      </c>
    </row>
    <row r="319" spans="2:7" x14ac:dyDescent="0.25">
      <c r="B319" t="str">
        <f>IF(COUNTIF('Pull Data'!B$2:B$1000, A319) &gt; 0, A319, "")</f>
        <v/>
      </c>
      <c r="C319" t="str">
        <f t="shared" si="8"/>
        <v/>
      </c>
      <c r="F319" t="str">
        <f>IF(COUNTIF('Pull Data'!C$2:C$1000, E319) &gt; 0, E319, "")</f>
        <v/>
      </c>
      <c r="G319" t="str">
        <f t="shared" si="9"/>
        <v/>
      </c>
    </row>
    <row r="320" spans="2:7" x14ac:dyDescent="0.25">
      <c r="B320" t="str">
        <f>IF(COUNTIF('Pull Data'!B$2:B$1000, A320) &gt; 0, A320, "")</f>
        <v/>
      </c>
      <c r="C320" t="str">
        <f t="shared" si="8"/>
        <v/>
      </c>
      <c r="F320" t="str">
        <f>IF(COUNTIF('Pull Data'!C$2:C$1000, E320) &gt; 0, E320, "")</f>
        <v/>
      </c>
      <c r="G320" t="str">
        <f t="shared" si="9"/>
        <v/>
      </c>
    </row>
    <row r="321" spans="2:7" x14ac:dyDescent="0.25">
      <c r="B321" t="str">
        <f>IF(COUNTIF('Pull Data'!B$2:B$1000, A321) &gt; 0, A321, "")</f>
        <v/>
      </c>
      <c r="C321" t="str">
        <f t="shared" si="8"/>
        <v/>
      </c>
      <c r="F321" t="str">
        <f>IF(COUNTIF('Pull Data'!C$2:C$1000, E321) &gt; 0, E321, "")</f>
        <v/>
      </c>
      <c r="G321" t="str">
        <f t="shared" si="9"/>
        <v/>
      </c>
    </row>
    <row r="322" spans="2:7" x14ac:dyDescent="0.25">
      <c r="B322" t="str">
        <f>IF(COUNTIF('Pull Data'!B$2:B$1000, A322) &gt; 0, A322, "")</f>
        <v/>
      </c>
      <c r="C322" t="str">
        <f t="shared" si="8"/>
        <v/>
      </c>
      <c r="F322" t="str">
        <f>IF(COUNTIF('Pull Data'!C$2:C$1000, E322) &gt; 0, E322, "")</f>
        <v/>
      </c>
      <c r="G322" t="str">
        <f t="shared" si="9"/>
        <v/>
      </c>
    </row>
    <row r="323" spans="2:7" x14ac:dyDescent="0.25">
      <c r="B323" t="str">
        <f>IF(COUNTIF('Pull Data'!B$2:B$1000, A323) &gt; 0, A323, "")</f>
        <v/>
      </c>
      <c r="C323" t="str">
        <f t="shared" ref="C323:C386" si="10">IF(AND(A323="", B323=""), "", IF(A323&lt;&gt;B323, "Custodian Does Not Appear in Data", "Custodian Appears in Data"))</f>
        <v/>
      </c>
      <c r="F323" t="str">
        <f>IF(COUNTIF('Pull Data'!C$2:C$1000, E323) &gt; 0, E323, "")</f>
        <v/>
      </c>
      <c r="G323" t="str">
        <f t="shared" ref="G323:G386" si="11">IF(AND(E323="", F323=""), "", IF(E323&lt;&gt;F323, "c/o Does Not Appear in Data", "c/o Appears in Data"))</f>
        <v/>
      </c>
    </row>
    <row r="324" spans="2:7" x14ac:dyDescent="0.25">
      <c r="B324" t="str">
        <f>IF(COUNTIF('Pull Data'!B$2:B$1000, A324) &gt; 0, A324, "")</f>
        <v/>
      </c>
      <c r="C324" t="str">
        <f t="shared" si="10"/>
        <v/>
      </c>
      <c r="F324" t="str">
        <f>IF(COUNTIF('Pull Data'!C$2:C$1000, E324) &gt; 0, E324, "")</f>
        <v/>
      </c>
      <c r="G324" t="str">
        <f t="shared" si="11"/>
        <v/>
      </c>
    </row>
    <row r="325" spans="2:7" x14ac:dyDescent="0.25">
      <c r="B325" t="str">
        <f>IF(COUNTIF('Pull Data'!B$2:B$1000, A325) &gt; 0, A325, "")</f>
        <v/>
      </c>
      <c r="C325" t="str">
        <f t="shared" si="10"/>
        <v/>
      </c>
      <c r="F325" t="str">
        <f>IF(COUNTIF('Pull Data'!C$2:C$1000, E325) &gt; 0, E325, "")</f>
        <v/>
      </c>
      <c r="G325" t="str">
        <f t="shared" si="11"/>
        <v/>
      </c>
    </row>
    <row r="326" spans="2:7" x14ac:dyDescent="0.25">
      <c r="B326" t="str">
        <f>IF(COUNTIF('Pull Data'!B$2:B$1000, A326) &gt; 0, A326, "")</f>
        <v/>
      </c>
      <c r="C326" t="str">
        <f t="shared" si="10"/>
        <v/>
      </c>
      <c r="F326" t="str">
        <f>IF(COUNTIF('Pull Data'!C$2:C$1000, E326) &gt; 0, E326, "")</f>
        <v/>
      </c>
      <c r="G326" t="str">
        <f t="shared" si="11"/>
        <v/>
      </c>
    </row>
    <row r="327" spans="2:7" x14ac:dyDescent="0.25">
      <c r="B327" t="str">
        <f>IF(COUNTIF('Pull Data'!B$2:B$1000, A327) &gt; 0, A327, "")</f>
        <v/>
      </c>
      <c r="C327" t="str">
        <f t="shared" si="10"/>
        <v/>
      </c>
      <c r="F327" t="str">
        <f>IF(COUNTIF('Pull Data'!C$2:C$1000, E327) &gt; 0, E327, "")</f>
        <v/>
      </c>
      <c r="G327" t="str">
        <f t="shared" si="11"/>
        <v/>
      </c>
    </row>
    <row r="328" spans="2:7" x14ac:dyDescent="0.25">
      <c r="B328" t="str">
        <f>IF(COUNTIF('Pull Data'!B$2:B$1000, A328) &gt; 0, A328, "")</f>
        <v/>
      </c>
      <c r="C328" t="str">
        <f t="shared" si="10"/>
        <v/>
      </c>
      <c r="F328" t="str">
        <f>IF(COUNTIF('Pull Data'!C$2:C$1000, E328) &gt; 0, E328, "")</f>
        <v/>
      </c>
      <c r="G328" t="str">
        <f t="shared" si="11"/>
        <v/>
      </c>
    </row>
    <row r="329" spans="2:7" x14ac:dyDescent="0.25">
      <c r="B329" t="str">
        <f>IF(COUNTIF('Pull Data'!B$2:B$1000, A329) &gt; 0, A329, "")</f>
        <v/>
      </c>
      <c r="C329" t="str">
        <f t="shared" si="10"/>
        <v/>
      </c>
      <c r="F329" t="str">
        <f>IF(COUNTIF('Pull Data'!C$2:C$1000, E329) &gt; 0, E329, "")</f>
        <v/>
      </c>
      <c r="G329" t="str">
        <f t="shared" si="11"/>
        <v/>
      </c>
    </row>
    <row r="330" spans="2:7" x14ac:dyDescent="0.25">
      <c r="B330" t="str">
        <f>IF(COUNTIF('Pull Data'!B$2:B$1000, A330) &gt; 0, A330, "")</f>
        <v/>
      </c>
      <c r="C330" t="str">
        <f t="shared" si="10"/>
        <v/>
      </c>
      <c r="F330" t="str">
        <f>IF(COUNTIF('Pull Data'!C$2:C$1000, E330) &gt; 0, E330, "")</f>
        <v/>
      </c>
      <c r="G330" t="str">
        <f t="shared" si="11"/>
        <v/>
      </c>
    </row>
    <row r="331" spans="2:7" x14ac:dyDescent="0.25">
      <c r="B331" t="str">
        <f>IF(COUNTIF('Pull Data'!B$2:B$1000, A331) &gt; 0, A331, "")</f>
        <v/>
      </c>
      <c r="C331" t="str">
        <f t="shared" si="10"/>
        <v/>
      </c>
      <c r="F331" t="str">
        <f>IF(COUNTIF('Pull Data'!C$2:C$1000, E331) &gt; 0, E331, "")</f>
        <v/>
      </c>
      <c r="G331" t="str">
        <f t="shared" si="11"/>
        <v/>
      </c>
    </row>
    <row r="332" spans="2:7" x14ac:dyDescent="0.25">
      <c r="B332" t="str">
        <f>IF(COUNTIF('Pull Data'!B$2:B$1000, A332) &gt; 0, A332, "")</f>
        <v/>
      </c>
      <c r="C332" t="str">
        <f t="shared" si="10"/>
        <v/>
      </c>
      <c r="F332" t="str">
        <f>IF(COUNTIF('Pull Data'!C$2:C$1000, E332) &gt; 0, E332, "")</f>
        <v/>
      </c>
      <c r="G332" t="str">
        <f t="shared" si="11"/>
        <v/>
      </c>
    </row>
    <row r="333" spans="2:7" x14ac:dyDescent="0.25">
      <c r="B333" t="str">
        <f>IF(COUNTIF('Pull Data'!B$2:B$1000, A333) &gt; 0, A333, "")</f>
        <v/>
      </c>
      <c r="C333" t="str">
        <f t="shared" si="10"/>
        <v/>
      </c>
      <c r="F333" t="str">
        <f>IF(COUNTIF('Pull Data'!C$2:C$1000, E333) &gt; 0, E333, "")</f>
        <v/>
      </c>
      <c r="G333" t="str">
        <f t="shared" si="11"/>
        <v/>
      </c>
    </row>
    <row r="334" spans="2:7" x14ac:dyDescent="0.25">
      <c r="B334" t="str">
        <f>IF(COUNTIF('Pull Data'!B$2:B$1000, A334) &gt; 0, A334, "")</f>
        <v/>
      </c>
      <c r="C334" t="str">
        <f t="shared" si="10"/>
        <v/>
      </c>
      <c r="F334" t="str">
        <f>IF(COUNTIF('Pull Data'!C$2:C$1000, E334) &gt; 0, E334, "")</f>
        <v/>
      </c>
      <c r="G334" t="str">
        <f t="shared" si="11"/>
        <v/>
      </c>
    </row>
    <row r="335" spans="2:7" x14ac:dyDescent="0.25">
      <c r="B335" t="str">
        <f>IF(COUNTIF('Pull Data'!B$2:B$1000, A335) &gt; 0, A335, "")</f>
        <v/>
      </c>
      <c r="C335" t="str">
        <f t="shared" si="10"/>
        <v/>
      </c>
      <c r="F335" t="str">
        <f>IF(COUNTIF('Pull Data'!C$2:C$1000, E335) &gt; 0, E335, "")</f>
        <v/>
      </c>
      <c r="G335" t="str">
        <f t="shared" si="11"/>
        <v/>
      </c>
    </row>
    <row r="336" spans="2:7" x14ac:dyDescent="0.25">
      <c r="B336" t="str">
        <f>IF(COUNTIF('Pull Data'!B$2:B$1000, A336) &gt; 0, A336, "")</f>
        <v/>
      </c>
      <c r="C336" t="str">
        <f t="shared" si="10"/>
        <v/>
      </c>
      <c r="F336" t="str">
        <f>IF(COUNTIF('Pull Data'!C$2:C$1000, E336) &gt; 0, E336, "")</f>
        <v/>
      </c>
      <c r="G336" t="str">
        <f t="shared" si="11"/>
        <v/>
      </c>
    </row>
    <row r="337" spans="2:7" x14ac:dyDescent="0.25">
      <c r="B337" t="str">
        <f>IF(COUNTIF('Pull Data'!B$2:B$1000, A337) &gt; 0, A337, "")</f>
        <v/>
      </c>
      <c r="C337" t="str">
        <f t="shared" si="10"/>
        <v/>
      </c>
      <c r="F337" t="str">
        <f>IF(COUNTIF('Pull Data'!C$2:C$1000, E337) &gt; 0, E337, "")</f>
        <v/>
      </c>
      <c r="G337" t="str">
        <f t="shared" si="11"/>
        <v/>
      </c>
    </row>
    <row r="338" spans="2:7" x14ac:dyDescent="0.25">
      <c r="B338" t="str">
        <f>IF(COUNTIF('Pull Data'!B$2:B$1000, A338) &gt; 0, A338, "")</f>
        <v/>
      </c>
      <c r="C338" t="str">
        <f t="shared" si="10"/>
        <v/>
      </c>
      <c r="F338" t="str">
        <f>IF(COUNTIF('Pull Data'!C$2:C$1000, E338) &gt; 0, E338, "")</f>
        <v/>
      </c>
      <c r="G338" t="str">
        <f t="shared" si="11"/>
        <v/>
      </c>
    </row>
    <row r="339" spans="2:7" x14ac:dyDescent="0.25">
      <c r="B339" t="str">
        <f>IF(COUNTIF('Pull Data'!B$2:B$1000, A339) &gt; 0, A339, "")</f>
        <v/>
      </c>
      <c r="C339" t="str">
        <f t="shared" si="10"/>
        <v/>
      </c>
      <c r="F339" t="str">
        <f>IF(COUNTIF('Pull Data'!C$2:C$1000, E339) &gt; 0, E339, "")</f>
        <v/>
      </c>
      <c r="G339" t="str">
        <f t="shared" si="11"/>
        <v/>
      </c>
    </row>
    <row r="340" spans="2:7" x14ac:dyDescent="0.25">
      <c r="B340" t="str">
        <f>IF(COUNTIF('Pull Data'!B$2:B$1000, A340) &gt; 0, A340, "")</f>
        <v/>
      </c>
      <c r="C340" t="str">
        <f t="shared" si="10"/>
        <v/>
      </c>
      <c r="F340" t="str">
        <f>IF(COUNTIF('Pull Data'!C$2:C$1000, E340) &gt; 0, E340, "")</f>
        <v/>
      </c>
      <c r="G340" t="str">
        <f t="shared" si="11"/>
        <v/>
      </c>
    </row>
    <row r="341" spans="2:7" x14ac:dyDescent="0.25">
      <c r="B341" t="str">
        <f>IF(COUNTIF('Pull Data'!B$2:B$1000, A341) &gt; 0, A341, "")</f>
        <v/>
      </c>
      <c r="C341" t="str">
        <f t="shared" si="10"/>
        <v/>
      </c>
      <c r="F341" t="str">
        <f>IF(COUNTIF('Pull Data'!C$2:C$1000, E341) &gt; 0, E341, "")</f>
        <v/>
      </c>
      <c r="G341" t="str">
        <f t="shared" si="11"/>
        <v/>
      </c>
    </row>
    <row r="342" spans="2:7" x14ac:dyDescent="0.25">
      <c r="B342" t="str">
        <f>IF(COUNTIF('Pull Data'!B$2:B$1000, A342) &gt; 0, A342, "")</f>
        <v/>
      </c>
      <c r="C342" t="str">
        <f t="shared" si="10"/>
        <v/>
      </c>
      <c r="F342" t="str">
        <f>IF(COUNTIF('Pull Data'!C$2:C$1000, E342) &gt; 0, E342, "")</f>
        <v/>
      </c>
      <c r="G342" t="str">
        <f t="shared" si="11"/>
        <v/>
      </c>
    </row>
    <row r="343" spans="2:7" x14ac:dyDescent="0.25">
      <c r="B343" t="str">
        <f>IF(COUNTIF('Pull Data'!B$2:B$1000, A343) &gt; 0, A343, "")</f>
        <v/>
      </c>
      <c r="C343" t="str">
        <f t="shared" si="10"/>
        <v/>
      </c>
      <c r="F343" t="str">
        <f>IF(COUNTIF('Pull Data'!C$2:C$1000, E343) &gt; 0, E343, "")</f>
        <v/>
      </c>
      <c r="G343" t="str">
        <f t="shared" si="11"/>
        <v/>
      </c>
    </row>
    <row r="344" spans="2:7" x14ac:dyDescent="0.25">
      <c r="B344" t="str">
        <f>IF(COUNTIF('Pull Data'!B$2:B$1000, A344) &gt; 0, A344, "")</f>
        <v/>
      </c>
      <c r="C344" t="str">
        <f t="shared" si="10"/>
        <v/>
      </c>
      <c r="F344" t="str">
        <f>IF(COUNTIF('Pull Data'!C$2:C$1000, E344) &gt; 0, E344, "")</f>
        <v/>
      </c>
      <c r="G344" t="str">
        <f t="shared" si="11"/>
        <v/>
      </c>
    </row>
    <row r="345" spans="2:7" x14ac:dyDescent="0.25">
      <c r="B345" t="str">
        <f>IF(COUNTIF('Pull Data'!B$2:B$1000, A345) &gt; 0, A345, "")</f>
        <v/>
      </c>
      <c r="C345" t="str">
        <f t="shared" si="10"/>
        <v/>
      </c>
      <c r="F345" t="str">
        <f>IF(COUNTIF('Pull Data'!C$2:C$1000, E345) &gt; 0, E345, "")</f>
        <v/>
      </c>
      <c r="G345" t="str">
        <f t="shared" si="11"/>
        <v/>
      </c>
    </row>
    <row r="346" spans="2:7" x14ac:dyDescent="0.25">
      <c r="B346" t="str">
        <f>IF(COUNTIF('Pull Data'!B$2:B$1000, A346) &gt; 0, A346, "")</f>
        <v/>
      </c>
      <c r="C346" t="str">
        <f t="shared" si="10"/>
        <v/>
      </c>
      <c r="F346" t="str">
        <f>IF(COUNTIF('Pull Data'!C$2:C$1000, E346) &gt; 0, E346, "")</f>
        <v/>
      </c>
      <c r="G346" t="str">
        <f t="shared" si="11"/>
        <v/>
      </c>
    </row>
    <row r="347" spans="2:7" x14ac:dyDescent="0.25">
      <c r="B347" t="str">
        <f>IF(COUNTIF('Pull Data'!B$2:B$1000, A347) &gt; 0, A347, "")</f>
        <v/>
      </c>
      <c r="C347" t="str">
        <f t="shared" si="10"/>
        <v/>
      </c>
      <c r="F347" t="str">
        <f>IF(COUNTIF('Pull Data'!C$2:C$1000, E347) &gt; 0, E347, "")</f>
        <v/>
      </c>
      <c r="G347" t="str">
        <f t="shared" si="11"/>
        <v/>
      </c>
    </row>
    <row r="348" spans="2:7" x14ac:dyDescent="0.25">
      <c r="B348" t="str">
        <f>IF(COUNTIF('Pull Data'!B$2:B$1000, A348) &gt; 0, A348, "")</f>
        <v/>
      </c>
      <c r="C348" t="str">
        <f t="shared" si="10"/>
        <v/>
      </c>
      <c r="F348" t="str">
        <f>IF(COUNTIF('Pull Data'!C$2:C$1000, E348) &gt; 0, E348, "")</f>
        <v/>
      </c>
      <c r="G348" t="str">
        <f t="shared" si="11"/>
        <v/>
      </c>
    </row>
    <row r="349" spans="2:7" x14ac:dyDescent="0.25">
      <c r="B349" t="str">
        <f>IF(COUNTIF('Pull Data'!B$2:B$1000, A349) &gt; 0, A349, "")</f>
        <v/>
      </c>
      <c r="C349" t="str">
        <f t="shared" si="10"/>
        <v/>
      </c>
      <c r="F349" t="str">
        <f>IF(COUNTIF('Pull Data'!C$2:C$1000, E349) &gt; 0, E349, "")</f>
        <v/>
      </c>
      <c r="G349" t="str">
        <f t="shared" si="11"/>
        <v/>
      </c>
    </row>
    <row r="350" spans="2:7" x14ac:dyDescent="0.25">
      <c r="B350" t="str">
        <f>IF(COUNTIF('Pull Data'!B$2:B$1000, A350) &gt; 0, A350, "")</f>
        <v/>
      </c>
      <c r="C350" t="str">
        <f t="shared" si="10"/>
        <v/>
      </c>
      <c r="F350" t="str">
        <f>IF(COUNTIF('Pull Data'!C$2:C$1000, E350) &gt; 0, E350, "")</f>
        <v/>
      </c>
      <c r="G350" t="str">
        <f t="shared" si="11"/>
        <v/>
      </c>
    </row>
    <row r="351" spans="2:7" x14ac:dyDescent="0.25">
      <c r="B351" t="str">
        <f>IF(COUNTIF('Pull Data'!B$2:B$1000, A351) &gt; 0, A351, "")</f>
        <v/>
      </c>
      <c r="C351" t="str">
        <f t="shared" si="10"/>
        <v/>
      </c>
      <c r="F351" t="str">
        <f>IF(COUNTIF('Pull Data'!C$2:C$1000, E351) &gt; 0, E351, "")</f>
        <v/>
      </c>
      <c r="G351" t="str">
        <f t="shared" si="11"/>
        <v/>
      </c>
    </row>
    <row r="352" spans="2:7" x14ac:dyDescent="0.25">
      <c r="B352" t="str">
        <f>IF(COUNTIF('Pull Data'!B$2:B$1000, A352) &gt; 0, A352, "")</f>
        <v/>
      </c>
      <c r="C352" t="str">
        <f t="shared" si="10"/>
        <v/>
      </c>
      <c r="F352" t="str">
        <f>IF(COUNTIF('Pull Data'!C$2:C$1000, E352) &gt; 0, E352, "")</f>
        <v/>
      </c>
      <c r="G352" t="str">
        <f t="shared" si="11"/>
        <v/>
      </c>
    </row>
    <row r="353" spans="2:7" x14ac:dyDescent="0.25">
      <c r="B353" t="str">
        <f>IF(COUNTIF('Pull Data'!B$2:B$1000, A353) &gt; 0, A353, "")</f>
        <v/>
      </c>
      <c r="C353" t="str">
        <f t="shared" si="10"/>
        <v/>
      </c>
      <c r="F353" t="str">
        <f>IF(COUNTIF('Pull Data'!C$2:C$1000, E353) &gt; 0, E353, "")</f>
        <v/>
      </c>
      <c r="G353" t="str">
        <f t="shared" si="11"/>
        <v/>
      </c>
    </row>
    <row r="354" spans="2:7" x14ac:dyDescent="0.25">
      <c r="B354" t="str">
        <f>IF(COUNTIF('Pull Data'!B$2:B$1000, A354) &gt; 0, A354, "")</f>
        <v/>
      </c>
      <c r="C354" t="str">
        <f t="shared" si="10"/>
        <v/>
      </c>
      <c r="F354" t="str">
        <f>IF(COUNTIF('Pull Data'!C$2:C$1000, E354) &gt; 0, E354, "")</f>
        <v/>
      </c>
      <c r="G354" t="str">
        <f t="shared" si="11"/>
        <v/>
      </c>
    </row>
    <row r="355" spans="2:7" x14ac:dyDescent="0.25">
      <c r="B355" t="str">
        <f>IF(COUNTIF('Pull Data'!B$2:B$1000, A355) &gt; 0, A355, "")</f>
        <v/>
      </c>
      <c r="C355" t="str">
        <f t="shared" si="10"/>
        <v/>
      </c>
      <c r="F355" t="str">
        <f>IF(COUNTIF('Pull Data'!C$2:C$1000, E355) &gt; 0, E355, "")</f>
        <v/>
      </c>
      <c r="G355" t="str">
        <f t="shared" si="11"/>
        <v/>
      </c>
    </row>
    <row r="356" spans="2:7" x14ac:dyDescent="0.25">
      <c r="B356" t="str">
        <f>IF(COUNTIF('Pull Data'!B$2:B$1000, A356) &gt; 0, A356, "")</f>
        <v/>
      </c>
      <c r="C356" t="str">
        <f t="shared" si="10"/>
        <v/>
      </c>
      <c r="F356" t="str">
        <f>IF(COUNTIF('Pull Data'!C$2:C$1000, E356) &gt; 0, E356, "")</f>
        <v/>
      </c>
      <c r="G356" t="str">
        <f t="shared" si="11"/>
        <v/>
      </c>
    </row>
    <row r="357" spans="2:7" x14ac:dyDescent="0.25">
      <c r="B357" t="str">
        <f>IF(COUNTIF('Pull Data'!B$2:B$1000, A357) &gt; 0, A357, "")</f>
        <v/>
      </c>
      <c r="C357" t="str">
        <f t="shared" si="10"/>
        <v/>
      </c>
      <c r="F357" t="str">
        <f>IF(COUNTIF('Pull Data'!C$2:C$1000, E357) &gt; 0, E357, "")</f>
        <v/>
      </c>
      <c r="G357" t="str">
        <f t="shared" si="11"/>
        <v/>
      </c>
    </row>
    <row r="358" spans="2:7" x14ac:dyDescent="0.25">
      <c r="B358" t="str">
        <f>IF(COUNTIF('Pull Data'!B$2:B$1000, A358) &gt; 0, A358, "")</f>
        <v/>
      </c>
      <c r="C358" t="str">
        <f t="shared" si="10"/>
        <v/>
      </c>
      <c r="F358" t="str">
        <f>IF(COUNTIF('Pull Data'!C$2:C$1000, E358) &gt; 0, E358, "")</f>
        <v/>
      </c>
      <c r="G358" t="str">
        <f t="shared" si="11"/>
        <v/>
      </c>
    </row>
    <row r="359" spans="2:7" x14ac:dyDescent="0.25">
      <c r="B359" t="str">
        <f>IF(COUNTIF('Pull Data'!B$2:B$1000, A359) &gt; 0, A359, "")</f>
        <v/>
      </c>
      <c r="C359" t="str">
        <f t="shared" si="10"/>
        <v/>
      </c>
      <c r="F359" t="str">
        <f>IF(COUNTIF('Pull Data'!C$2:C$1000, E359) &gt; 0, E359, "")</f>
        <v/>
      </c>
      <c r="G359" t="str">
        <f t="shared" si="11"/>
        <v/>
      </c>
    </row>
    <row r="360" spans="2:7" x14ac:dyDescent="0.25">
      <c r="B360" t="str">
        <f>IF(COUNTIF('Pull Data'!B$2:B$1000, A360) &gt; 0, A360, "")</f>
        <v/>
      </c>
      <c r="C360" t="str">
        <f t="shared" si="10"/>
        <v/>
      </c>
      <c r="F360" t="str">
        <f>IF(COUNTIF('Pull Data'!C$2:C$1000, E360) &gt; 0, E360, "")</f>
        <v/>
      </c>
      <c r="G360" t="str">
        <f t="shared" si="11"/>
        <v/>
      </c>
    </row>
    <row r="361" spans="2:7" x14ac:dyDescent="0.25">
      <c r="B361" t="str">
        <f>IF(COUNTIF('Pull Data'!B$2:B$1000, A361) &gt; 0, A361, "")</f>
        <v/>
      </c>
      <c r="C361" t="str">
        <f t="shared" si="10"/>
        <v/>
      </c>
      <c r="F361" t="str">
        <f>IF(COUNTIF('Pull Data'!C$2:C$1000, E361) &gt; 0, E361, "")</f>
        <v/>
      </c>
      <c r="G361" t="str">
        <f t="shared" si="11"/>
        <v/>
      </c>
    </row>
    <row r="362" spans="2:7" x14ac:dyDescent="0.25">
      <c r="B362" t="str">
        <f>IF(COUNTIF('Pull Data'!B$2:B$1000, A362) &gt; 0, A362, "")</f>
        <v/>
      </c>
      <c r="C362" t="str">
        <f t="shared" si="10"/>
        <v/>
      </c>
      <c r="F362" t="str">
        <f>IF(COUNTIF('Pull Data'!C$2:C$1000, E362) &gt; 0, E362, "")</f>
        <v/>
      </c>
      <c r="G362" t="str">
        <f t="shared" si="11"/>
        <v/>
      </c>
    </row>
    <row r="363" spans="2:7" x14ac:dyDescent="0.25">
      <c r="B363" t="str">
        <f>IF(COUNTIF('Pull Data'!B$2:B$1000, A363) &gt; 0, A363, "")</f>
        <v/>
      </c>
      <c r="C363" t="str">
        <f t="shared" si="10"/>
        <v/>
      </c>
      <c r="F363" t="str">
        <f>IF(COUNTIF('Pull Data'!C$2:C$1000, E363) &gt; 0, E363, "")</f>
        <v/>
      </c>
      <c r="G363" t="str">
        <f t="shared" si="11"/>
        <v/>
      </c>
    </row>
    <row r="364" spans="2:7" x14ac:dyDescent="0.25">
      <c r="B364" t="str">
        <f>IF(COUNTIF('Pull Data'!B$2:B$1000, A364) &gt; 0, A364, "")</f>
        <v/>
      </c>
      <c r="C364" t="str">
        <f t="shared" si="10"/>
        <v/>
      </c>
      <c r="F364" t="str">
        <f>IF(COUNTIF('Pull Data'!C$2:C$1000, E364) &gt; 0, E364, "")</f>
        <v/>
      </c>
      <c r="G364" t="str">
        <f t="shared" si="11"/>
        <v/>
      </c>
    </row>
    <row r="365" spans="2:7" x14ac:dyDescent="0.25">
      <c r="B365" t="str">
        <f>IF(COUNTIF('Pull Data'!B$2:B$1000, A365) &gt; 0, A365, "")</f>
        <v/>
      </c>
      <c r="C365" t="str">
        <f t="shared" si="10"/>
        <v/>
      </c>
      <c r="F365" t="str">
        <f>IF(COUNTIF('Pull Data'!C$2:C$1000, E365) &gt; 0, E365, "")</f>
        <v/>
      </c>
      <c r="G365" t="str">
        <f t="shared" si="11"/>
        <v/>
      </c>
    </row>
    <row r="366" spans="2:7" x14ac:dyDescent="0.25">
      <c r="B366" t="str">
        <f>IF(COUNTIF('Pull Data'!B$2:B$1000, A366) &gt; 0, A366, "")</f>
        <v/>
      </c>
      <c r="C366" t="str">
        <f t="shared" si="10"/>
        <v/>
      </c>
      <c r="F366" t="str">
        <f>IF(COUNTIF('Pull Data'!C$2:C$1000, E366) &gt; 0, E366, "")</f>
        <v/>
      </c>
      <c r="G366" t="str">
        <f t="shared" si="11"/>
        <v/>
      </c>
    </row>
    <row r="367" spans="2:7" x14ac:dyDescent="0.25">
      <c r="B367" t="str">
        <f>IF(COUNTIF('Pull Data'!B$2:B$1000, A367) &gt; 0, A367, "")</f>
        <v/>
      </c>
      <c r="C367" t="str">
        <f t="shared" si="10"/>
        <v/>
      </c>
      <c r="F367" t="str">
        <f>IF(COUNTIF('Pull Data'!C$2:C$1000, E367) &gt; 0, E367, "")</f>
        <v/>
      </c>
      <c r="G367" t="str">
        <f t="shared" si="11"/>
        <v/>
      </c>
    </row>
    <row r="368" spans="2:7" x14ac:dyDescent="0.25">
      <c r="B368" t="str">
        <f>IF(COUNTIF('Pull Data'!B$2:B$1000, A368) &gt; 0, A368, "")</f>
        <v/>
      </c>
      <c r="C368" t="str">
        <f t="shared" si="10"/>
        <v/>
      </c>
      <c r="F368" t="str">
        <f>IF(COUNTIF('Pull Data'!C$2:C$1000, E368) &gt; 0, E368, "")</f>
        <v/>
      </c>
      <c r="G368" t="str">
        <f t="shared" si="11"/>
        <v/>
      </c>
    </row>
    <row r="369" spans="2:7" x14ac:dyDescent="0.25">
      <c r="B369" t="str">
        <f>IF(COUNTIF('Pull Data'!B$2:B$1000, A369) &gt; 0, A369, "")</f>
        <v/>
      </c>
      <c r="C369" t="str">
        <f t="shared" si="10"/>
        <v/>
      </c>
      <c r="F369" t="str">
        <f>IF(COUNTIF('Pull Data'!C$2:C$1000, E369) &gt; 0, E369, "")</f>
        <v/>
      </c>
      <c r="G369" t="str">
        <f t="shared" si="11"/>
        <v/>
      </c>
    </row>
    <row r="370" spans="2:7" x14ac:dyDescent="0.25">
      <c r="B370" t="str">
        <f>IF(COUNTIF('Pull Data'!B$2:B$1000, A370) &gt; 0, A370, "")</f>
        <v/>
      </c>
      <c r="C370" t="str">
        <f t="shared" si="10"/>
        <v/>
      </c>
      <c r="F370" t="str">
        <f>IF(COUNTIF('Pull Data'!C$2:C$1000, E370) &gt; 0, E370, "")</f>
        <v/>
      </c>
      <c r="G370" t="str">
        <f t="shared" si="11"/>
        <v/>
      </c>
    </row>
    <row r="371" spans="2:7" x14ac:dyDescent="0.25">
      <c r="B371" t="str">
        <f>IF(COUNTIF('Pull Data'!B$2:B$1000, A371) &gt; 0, A371, "")</f>
        <v/>
      </c>
      <c r="C371" t="str">
        <f t="shared" si="10"/>
        <v/>
      </c>
      <c r="F371" t="str">
        <f>IF(COUNTIF('Pull Data'!C$2:C$1000, E371) &gt; 0, E371, "")</f>
        <v/>
      </c>
      <c r="G371" t="str">
        <f t="shared" si="11"/>
        <v/>
      </c>
    </row>
    <row r="372" spans="2:7" x14ac:dyDescent="0.25">
      <c r="B372" t="str">
        <f>IF(COUNTIF('Pull Data'!B$2:B$1000, A372) &gt; 0, A372, "")</f>
        <v/>
      </c>
      <c r="C372" t="str">
        <f t="shared" si="10"/>
        <v/>
      </c>
      <c r="F372" t="str">
        <f>IF(COUNTIF('Pull Data'!C$2:C$1000, E372) &gt; 0, E372, "")</f>
        <v/>
      </c>
      <c r="G372" t="str">
        <f t="shared" si="11"/>
        <v/>
      </c>
    </row>
    <row r="373" spans="2:7" x14ac:dyDescent="0.25">
      <c r="B373" t="str">
        <f>IF(COUNTIF('Pull Data'!B$2:B$1000, A373) &gt; 0, A373, "")</f>
        <v/>
      </c>
      <c r="C373" t="str">
        <f t="shared" si="10"/>
        <v/>
      </c>
      <c r="F373" t="str">
        <f>IF(COUNTIF('Pull Data'!C$2:C$1000, E373) &gt; 0, E373, "")</f>
        <v/>
      </c>
      <c r="G373" t="str">
        <f t="shared" si="11"/>
        <v/>
      </c>
    </row>
    <row r="374" spans="2:7" x14ac:dyDescent="0.25">
      <c r="B374" t="str">
        <f>IF(COUNTIF('Pull Data'!B$2:B$1000, A374) &gt; 0, A374, "")</f>
        <v/>
      </c>
      <c r="C374" t="str">
        <f t="shared" si="10"/>
        <v/>
      </c>
      <c r="F374" t="str">
        <f>IF(COUNTIF('Pull Data'!C$2:C$1000, E374) &gt; 0, E374, "")</f>
        <v/>
      </c>
      <c r="G374" t="str">
        <f t="shared" si="11"/>
        <v/>
      </c>
    </row>
    <row r="375" spans="2:7" x14ac:dyDescent="0.25">
      <c r="B375" t="str">
        <f>IF(COUNTIF('Pull Data'!B$2:B$1000, A375) &gt; 0, A375, "")</f>
        <v/>
      </c>
      <c r="C375" t="str">
        <f t="shared" si="10"/>
        <v/>
      </c>
      <c r="F375" t="str">
        <f>IF(COUNTIF('Pull Data'!C$2:C$1000, E375) &gt; 0, E375, "")</f>
        <v/>
      </c>
      <c r="G375" t="str">
        <f t="shared" si="11"/>
        <v/>
      </c>
    </row>
    <row r="376" spans="2:7" x14ac:dyDescent="0.25">
      <c r="B376" t="str">
        <f>IF(COUNTIF('Pull Data'!B$2:B$1000, A376) &gt; 0, A376, "")</f>
        <v/>
      </c>
      <c r="C376" t="str">
        <f t="shared" si="10"/>
        <v/>
      </c>
      <c r="F376" t="str">
        <f>IF(COUNTIF('Pull Data'!C$2:C$1000, E376) &gt; 0, E376, "")</f>
        <v/>
      </c>
      <c r="G376" t="str">
        <f t="shared" si="11"/>
        <v/>
      </c>
    </row>
    <row r="377" spans="2:7" x14ac:dyDescent="0.25">
      <c r="B377" t="str">
        <f>IF(COUNTIF('Pull Data'!B$2:B$1000, A377) &gt; 0, A377, "")</f>
        <v/>
      </c>
      <c r="C377" t="str">
        <f t="shared" si="10"/>
        <v/>
      </c>
      <c r="F377" t="str">
        <f>IF(COUNTIF('Pull Data'!C$2:C$1000, E377) &gt; 0, E377, "")</f>
        <v/>
      </c>
      <c r="G377" t="str">
        <f t="shared" si="11"/>
        <v/>
      </c>
    </row>
    <row r="378" spans="2:7" x14ac:dyDescent="0.25">
      <c r="B378" t="str">
        <f>IF(COUNTIF('Pull Data'!B$2:B$1000, A378) &gt; 0, A378, "")</f>
        <v/>
      </c>
      <c r="C378" t="str">
        <f t="shared" si="10"/>
        <v/>
      </c>
      <c r="F378" t="str">
        <f>IF(COUNTIF('Pull Data'!C$2:C$1000, E378) &gt; 0, E378, "")</f>
        <v/>
      </c>
      <c r="G378" t="str">
        <f t="shared" si="11"/>
        <v/>
      </c>
    </row>
    <row r="379" spans="2:7" x14ac:dyDescent="0.25">
      <c r="B379" t="str">
        <f>IF(COUNTIF('Pull Data'!B$2:B$1000, A379) &gt; 0, A379, "")</f>
        <v/>
      </c>
      <c r="C379" t="str">
        <f t="shared" si="10"/>
        <v/>
      </c>
      <c r="F379" t="str">
        <f>IF(COUNTIF('Pull Data'!C$2:C$1000, E379) &gt; 0, E379, "")</f>
        <v/>
      </c>
      <c r="G379" t="str">
        <f t="shared" si="11"/>
        <v/>
      </c>
    </row>
    <row r="380" spans="2:7" x14ac:dyDescent="0.25">
      <c r="B380" t="str">
        <f>IF(COUNTIF('Pull Data'!B$2:B$1000, A380) &gt; 0, A380, "")</f>
        <v/>
      </c>
      <c r="C380" t="str">
        <f t="shared" si="10"/>
        <v/>
      </c>
      <c r="F380" t="str">
        <f>IF(COUNTIF('Pull Data'!C$2:C$1000, E380) &gt; 0, E380, "")</f>
        <v/>
      </c>
      <c r="G380" t="str">
        <f t="shared" si="11"/>
        <v/>
      </c>
    </row>
    <row r="381" spans="2:7" x14ac:dyDescent="0.25">
      <c r="B381" t="str">
        <f>IF(COUNTIF('Pull Data'!B$2:B$1000, A381) &gt; 0, A381, "")</f>
        <v/>
      </c>
      <c r="C381" t="str">
        <f t="shared" si="10"/>
        <v/>
      </c>
      <c r="F381" t="str">
        <f>IF(COUNTIF('Pull Data'!C$2:C$1000, E381) &gt; 0, E381, "")</f>
        <v/>
      </c>
      <c r="G381" t="str">
        <f t="shared" si="11"/>
        <v/>
      </c>
    </row>
    <row r="382" spans="2:7" x14ac:dyDescent="0.25">
      <c r="B382" t="str">
        <f>IF(COUNTIF('Pull Data'!B$2:B$1000, A382) &gt; 0, A382, "")</f>
        <v/>
      </c>
      <c r="C382" t="str">
        <f t="shared" si="10"/>
        <v/>
      </c>
      <c r="F382" t="str">
        <f>IF(COUNTIF('Pull Data'!C$2:C$1000, E382) &gt; 0, E382, "")</f>
        <v/>
      </c>
      <c r="G382" t="str">
        <f t="shared" si="11"/>
        <v/>
      </c>
    </row>
    <row r="383" spans="2:7" x14ac:dyDescent="0.25">
      <c r="B383" t="str">
        <f>IF(COUNTIF('Pull Data'!B$2:B$1000, A383) &gt; 0, A383, "")</f>
        <v/>
      </c>
      <c r="C383" t="str">
        <f t="shared" si="10"/>
        <v/>
      </c>
      <c r="F383" t="str">
        <f>IF(COUNTIF('Pull Data'!C$2:C$1000, E383) &gt; 0, E383, "")</f>
        <v/>
      </c>
      <c r="G383" t="str">
        <f t="shared" si="11"/>
        <v/>
      </c>
    </row>
    <row r="384" spans="2:7" x14ac:dyDescent="0.25">
      <c r="B384" t="str">
        <f>IF(COUNTIF('Pull Data'!B$2:B$1000, A384) &gt; 0, A384, "")</f>
        <v/>
      </c>
      <c r="C384" t="str">
        <f t="shared" si="10"/>
        <v/>
      </c>
      <c r="F384" t="str">
        <f>IF(COUNTIF('Pull Data'!C$2:C$1000, E384) &gt; 0, E384, "")</f>
        <v/>
      </c>
      <c r="G384" t="str">
        <f t="shared" si="11"/>
        <v/>
      </c>
    </row>
    <row r="385" spans="2:7" x14ac:dyDescent="0.25">
      <c r="B385" t="str">
        <f>IF(COUNTIF('Pull Data'!B$2:B$1000, A385) &gt; 0, A385, "")</f>
        <v/>
      </c>
      <c r="C385" t="str">
        <f t="shared" si="10"/>
        <v/>
      </c>
      <c r="F385" t="str">
        <f>IF(COUNTIF('Pull Data'!C$2:C$1000, E385) &gt; 0, E385, "")</f>
        <v/>
      </c>
      <c r="G385" t="str">
        <f t="shared" si="11"/>
        <v/>
      </c>
    </row>
    <row r="386" spans="2:7" x14ac:dyDescent="0.25">
      <c r="B386" t="str">
        <f>IF(COUNTIF('Pull Data'!B$2:B$1000, A386) &gt; 0, A386, "")</f>
        <v/>
      </c>
      <c r="C386" t="str">
        <f t="shared" si="10"/>
        <v/>
      </c>
      <c r="F386" t="str">
        <f>IF(COUNTIF('Pull Data'!C$2:C$1000, E386) &gt; 0, E386, "")</f>
        <v/>
      </c>
      <c r="G386" t="str">
        <f t="shared" si="11"/>
        <v/>
      </c>
    </row>
    <row r="387" spans="2:7" x14ac:dyDescent="0.25">
      <c r="B387" t="str">
        <f>IF(COUNTIF('Pull Data'!B$2:B$1000, A387) &gt; 0, A387, "")</f>
        <v/>
      </c>
      <c r="C387" t="str">
        <f t="shared" ref="C387:C450" si="12">IF(AND(A387="", B387=""), "", IF(A387&lt;&gt;B387, "Custodian Does Not Appear in Data", "Custodian Appears in Data"))</f>
        <v/>
      </c>
      <c r="F387" t="str">
        <f>IF(COUNTIF('Pull Data'!C$2:C$1000, E387) &gt; 0, E387, "")</f>
        <v/>
      </c>
      <c r="G387" t="str">
        <f t="shared" ref="G387:G450" si="13">IF(AND(E387="", F387=""), "", IF(E387&lt;&gt;F387, "c/o Does Not Appear in Data", "c/o Appears in Data"))</f>
        <v/>
      </c>
    </row>
    <row r="388" spans="2:7" x14ac:dyDescent="0.25">
      <c r="B388" t="str">
        <f>IF(COUNTIF('Pull Data'!B$2:B$1000, A388) &gt; 0, A388, "")</f>
        <v/>
      </c>
      <c r="C388" t="str">
        <f t="shared" si="12"/>
        <v/>
      </c>
      <c r="F388" t="str">
        <f>IF(COUNTIF('Pull Data'!C$2:C$1000, E388) &gt; 0, E388, "")</f>
        <v/>
      </c>
      <c r="G388" t="str">
        <f t="shared" si="13"/>
        <v/>
      </c>
    </row>
    <row r="389" spans="2:7" x14ac:dyDescent="0.25">
      <c r="B389" t="str">
        <f>IF(COUNTIF('Pull Data'!B$2:B$1000, A389) &gt; 0, A389, "")</f>
        <v/>
      </c>
      <c r="C389" t="str">
        <f t="shared" si="12"/>
        <v/>
      </c>
      <c r="F389" t="str">
        <f>IF(COUNTIF('Pull Data'!C$2:C$1000, E389) &gt; 0, E389, "")</f>
        <v/>
      </c>
      <c r="G389" t="str">
        <f t="shared" si="13"/>
        <v/>
      </c>
    </row>
    <row r="390" spans="2:7" x14ac:dyDescent="0.25">
      <c r="B390" t="str">
        <f>IF(COUNTIF('Pull Data'!B$2:B$1000, A390) &gt; 0, A390, "")</f>
        <v/>
      </c>
      <c r="C390" t="str">
        <f t="shared" si="12"/>
        <v/>
      </c>
      <c r="F390" t="str">
        <f>IF(COUNTIF('Pull Data'!C$2:C$1000, E390) &gt; 0, E390, "")</f>
        <v/>
      </c>
      <c r="G390" t="str">
        <f t="shared" si="13"/>
        <v/>
      </c>
    </row>
    <row r="391" spans="2:7" x14ac:dyDescent="0.25">
      <c r="B391" t="str">
        <f>IF(COUNTIF('Pull Data'!B$2:B$1000, A391) &gt; 0, A391, "")</f>
        <v/>
      </c>
      <c r="C391" t="str">
        <f t="shared" si="12"/>
        <v/>
      </c>
      <c r="F391" t="str">
        <f>IF(COUNTIF('Pull Data'!C$2:C$1000, E391) &gt; 0, E391, "")</f>
        <v/>
      </c>
      <c r="G391" t="str">
        <f t="shared" si="13"/>
        <v/>
      </c>
    </row>
    <row r="392" spans="2:7" x14ac:dyDescent="0.25">
      <c r="B392" t="str">
        <f>IF(COUNTIF('Pull Data'!B$2:B$1000, A392) &gt; 0, A392, "")</f>
        <v/>
      </c>
      <c r="C392" t="str">
        <f t="shared" si="12"/>
        <v/>
      </c>
      <c r="F392" t="str">
        <f>IF(COUNTIF('Pull Data'!C$2:C$1000, E392) &gt; 0, E392, "")</f>
        <v/>
      </c>
      <c r="G392" t="str">
        <f t="shared" si="13"/>
        <v/>
      </c>
    </row>
    <row r="393" spans="2:7" x14ac:dyDescent="0.25">
      <c r="B393" t="str">
        <f>IF(COUNTIF('Pull Data'!B$2:B$1000, A393) &gt; 0, A393, "")</f>
        <v/>
      </c>
      <c r="C393" t="str">
        <f t="shared" si="12"/>
        <v/>
      </c>
      <c r="F393" t="str">
        <f>IF(COUNTIF('Pull Data'!C$2:C$1000, E393) &gt; 0, E393, "")</f>
        <v/>
      </c>
      <c r="G393" t="str">
        <f t="shared" si="13"/>
        <v/>
      </c>
    </row>
    <row r="394" spans="2:7" x14ac:dyDescent="0.25">
      <c r="B394" t="str">
        <f>IF(COUNTIF('Pull Data'!B$2:B$1000, A394) &gt; 0, A394, "")</f>
        <v/>
      </c>
      <c r="C394" t="str">
        <f t="shared" si="12"/>
        <v/>
      </c>
      <c r="F394" t="str">
        <f>IF(COUNTIF('Pull Data'!C$2:C$1000, E394) &gt; 0, E394, "")</f>
        <v/>
      </c>
      <c r="G394" t="str">
        <f t="shared" si="13"/>
        <v/>
      </c>
    </row>
    <row r="395" spans="2:7" x14ac:dyDescent="0.25">
      <c r="B395" t="str">
        <f>IF(COUNTIF('Pull Data'!B$2:B$1000, A395) &gt; 0, A395, "")</f>
        <v/>
      </c>
      <c r="C395" t="str">
        <f t="shared" si="12"/>
        <v/>
      </c>
      <c r="F395" t="str">
        <f>IF(COUNTIF('Pull Data'!C$2:C$1000, E395) &gt; 0, E395, "")</f>
        <v/>
      </c>
      <c r="G395" t="str">
        <f t="shared" si="13"/>
        <v/>
      </c>
    </row>
    <row r="396" spans="2:7" x14ac:dyDescent="0.25">
      <c r="B396" t="str">
        <f>IF(COUNTIF('Pull Data'!B$2:B$1000, A396) &gt; 0, A396, "")</f>
        <v/>
      </c>
      <c r="C396" t="str">
        <f t="shared" si="12"/>
        <v/>
      </c>
      <c r="F396" t="str">
        <f>IF(COUNTIF('Pull Data'!C$2:C$1000, E396) &gt; 0, E396, "")</f>
        <v/>
      </c>
      <c r="G396" t="str">
        <f t="shared" si="13"/>
        <v/>
      </c>
    </row>
    <row r="397" spans="2:7" x14ac:dyDescent="0.25">
      <c r="B397" t="str">
        <f>IF(COUNTIF('Pull Data'!B$2:B$1000, A397) &gt; 0, A397, "")</f>
        <v/>
      </c>
      <c r="C397" t="str">
        <f t="shared" si="12"/>
        <v/>
      </c>
      <c r="F397" t="str">
        <f>IF(COUNTIF('Pull Data'!C$2:C$1000, E397) &gt; 0, E397, "")</f>
        <v/>
      </c>
      <c r="G397" t="str">
        <f t="shared" si="13"/>
        <v/>
      </c>
    </row>
    <row r="398" spans="2:7" x14ac:dyDescent="0.25">
      <c r="B398" t="str">
        <f>IF(COUNTIF('Pull Data'!B$2:B$1000, A398) &gt; 0, A398, "")</f>
        <v/>
      </c>
      <c r="C398" t="str">
        <f t="shared" si="12"/>
        <v/>
      </c>
      <c r="F398" t="str">
        <f>IF(COUNTIF('Pull Data'!C$2:C$1000, E398) &gt; 0, E398, "")</f>
        <v/>
      </c>
      <c r="G398" t="str">
        <f t="shared" si="13"/>
        <v/>
      </c>
    </row>
    <row r="399" spans="2:7" x14ac:dyDescent="0.25">
      <c r="B399" t="str">
        <f>IF(COUNTIF('Pull Data'!B$2:B$1000, A399) &gt; 0, A399, "")</f>
        <v/>
      </c>
      <c r="C399" t="str">
        <f t="shared" si="12"/>
        <v/>
      </c>
      <c r="F399" t="str">
        <f>IF(COUNTIF('Pull Data'!C$2:C$1000, E399) &gt; 0, E399, "")</f>
        <v/>
      </c>
      <c r="G399" t="str">
        <f t="shared" si="13"/>
        <v/>
      </c>
    </row>
    <row r="400" spans="2:7" x14ac:dyDescent="0.25">
      <c r="B400" t="str">
        <f>IF(COUNTIF('Pull Data'!B$2:B$1000, A400) &gt; 0, A400, "")</f>
        <v/>
      </c>
      <c r="C400" t="str">
        <f t="shared" si="12"/>
        <v/>
      </c>
      <c r="F400" t="str">
        <f>IF(COUNTIF('Pull Data'!C$2:C$1000, E400) &gt; 0, E400, "")</f>
        <v/>
      </c>
      <c r="G400" t="str">
        <f t="shared" si="13"/>
        <v/>
      </c>
    </row>
    <row r="401" spans="2:7" x14ac:dyDescent="0.25">
      <c r="B401" t="str">
        <f>IF(COUNTIF('Pull Data'!B$2:B$1000, A401) &gt; 0, A401, "")</f>
        <v/>
      </c>
      <c r="C401" t="str">
        <f t="shared" si="12"/>
        <v/>
      </c>
      <c r="F401" t="str">
        <f>IF(COUNTIF('Pull Data'!C$2:C$1000, E401) &gt; 0, E401, "")</f>
        <v/>
      </c>
      <c r="G401" t="str">
        <f t="shared" si="13"/>
        <v/>
      </c>
    </row>
    <row r="402" spans="2:7" x14ac:dyDescent="0.25">
      <c r="B402" t="str">
        <f>IF(COUNTIF('Pull Data'!B$2:B$1000, A402) &gt; 0, A402, "")</f>
        <v/>
      </c>
      <c r="C402" t="str">
        <f t="shared" si="12"/>
        <v/>
      </c>
      <c r="F402" t="str">
        <f>IF(COUNTIF('Pull Data'!C$2:C$1000, E402) &gt; 0, E402, "")</f>
        <v/>
      </c>
      <c r="G402" t="str">
        <f t="shared" si="13"/>
        <v/>
      </c>
    </row>
    <row r="403" spans="2:7" x14ac:dyDescent="0.25">
      <c r="B403" t="str">
        <f>IF(COUNTIF('Pull Data'!B$2:B$1000, A403) &gt; 0, A403, "")</f>
        <v/>
      </c>
      <c r="C403" t="str">
        <f t="shared" si="12"/>
        <v/>
      </c>
      <c r="F403" t="str">
        <f>IF(COUNTIF('Pull Data'!C$2:C$1000, E403) &gt; 0, E403, "")</f>
        <v/>
      </c>
      <c r="G403" t="str">
        <f t="shared" si="13"/>
        <v/>
      </c>
    </row>
    <row r="404" spans="2:7" x14ac:dyDescent="0.25">
      <c r="B404" t="str">
        <f>IF(COUNTIF('Pull Data'!B$2:B$1000, A404) &gt; 0, A404, "")</f>
        <v/>
      </c>
      <c r="C404" t="str">
        <f t="shared" si="12"/>
        <v/>
      </c>
      <c r="F404" t="str">
        <f>IF(COUNTIF('Pull Data'!C$2:C$1000, E404) &gt; 0, E404, "")</f>
        <v/>
      </c>
      <c r="G404" t="str">
        <f t="shared" si="13"/>
        <v/>
      </c>
    </row>
    <row r="405" spans="2:7" x14ac:dyDescent="0.25">
      <c r="B405" t="str">
        <f>IF(COUNTIF('Pull Data'!B$2:B$1000, A405) &gt; 0, A405, "")</f>
        <v/>
      </c>
      <c r="C405" t="str">
        <f t="shared" si="12"/>
        <v/>
      </c>
      <c r="F405" t="str">
        <f>IF(COUNTIF('Pull Data'!C$2:C$1000, E405) &gt; 0, E405, "")</f>
        <v/>
      </c>
      <c r="G405" t="str">
        <f t="shared" si="13"/>
        <v/>
      </c>
    </row>
    <row r="406" spans="2:7" x14ac:dyDescent="0.25">
      <c r="B406" t="str">
        <f>IF(COUNTIF('Pull Data'!B$2:B$1000, A406) &gt; 0, A406, "")</f>
        <v/>
      </c>
      <c r="C406" t="str">
        <f t="shared" si="12"/>
        <v/>
      </c>
      <c r="F406" t="str">
        <f>IF(COUNTIF('Pull Data'!C$2:C$1000, E406) &gt; 0, E406, "")</f>
        <v/>
      </c>
      <c r="G406" t="str">
        <f t="shared" si="13"/>
        <v/>
      </c>
    </row>
    <row r="407" spans="2:7" x14ac:dyDescent="0.25">
      <c r="B407" t="str">
        <f>IF(COUNTIF('Pull Data'!B$2:B$1000, A407) &gt; 0, A407, "")</f>
        <v/>
      </c>
      <c r="C407" t="str">
        <f t="shared" si="12"/>
        <v/>
      </c>
      <c r="F407" t="str">
        <f>IF(COUNTIF('Pull Data'!C$2:C$1000, E407) &gt; 0, E407, "")</f>
        <v/>
      </c>
      <c r="G407" t="str">
        <f t="shared" si="13"/>
        <v/>
      </c>
    </row>
    <row r="408" spans="2:7" x14ac:dyDescent="0.25">
      <c r="B408" t="str">
        <f>IF(COUNTIF('Pull Data'!B$2:B$1000, A408) &gt; 0, A408, "")</f>
        <v/>
      </c>
      <c r="C408" t="str">
        <f t="shared" si="12"/>
        <v/>
      </c>
      <c r="F408" t="str">
        <f>IF(COUNTIF('Pull Data'!C$2:C$1000, E408) &gt; 0, E408, "")</f>
        <v/>
      </c>
      <c r="G408" t="str">
        <f t="shared" si="13"/>
        <v/>
      </c>
    </row>
    <row r="409" spans="2:7" x14ac:dyDescent="0.25">
      <c r="B409" t="str">
        <f>IF(COUNTIF('Pull Data'!B$2:B$1000, A409) &gt; 0, A409, "")</f>
        <v/>
      </c>
      <c r="C409" t="str">
        <f t="shared" si="12"/>
        <v/>
      </c>
      <c r="F409" t="str">
        <f>IF(COUNTIF('Pull Data'!C$2:C$1000, E409) &gt; 0, E409, "")</f>
        <v/>
      </c>
      <c r="G409" t="str">
        <f t="shared" si="13"/>
        <v/>
      </c>
    </row>
    <row r="410" spans="2:7" x14ac:dyDescent="0.25">
      <c r="B410" t="str">
        <f>IF(COUNTIF('Pull Data'!B$2:B$1000, A410) &gt; 0, A410, "")</f>
        <v/>
      </c>
      <c r="C410" t="str">
        <f t="shared" si="12"/>
        <v/>
      </c>
      <c r="F410" t="str">
        <f>IF(COUNTIF('Pull Data'!C$2:C$1000, E410) &gt; 0, E410, "")</f>
        <v/>
      </c>
      <c r="G410" t="str">
        <f t="shared" si="13"/>
        <v/>
      </c>
    </row>
    <row r="411" spans="2:7" x14ac:dyDescent="0.25">
      <c r="B411" t="str">
        <f>IF(COUNTIF('Pull Data'!B$2:B$1000, A411) &gt; 0, A411, "")</f>
        <v/>
      </c>
      <c r="C411" t="str">
        <f t="shared" si="12"/>
        <v/>
      </c>
      <c r="F411" t="str">
        <f>IF(COUNTIF('Pull Data'!C$2:C$1000, E411) &gt; 0, E411, "")</f>
        <v/>
      </c>
      <c r="G411" t="str">
        <f t="shared" si="13"/>
        <v/>
      </c>
    </row>
    <row r="412" spans="2:7" x14ac:dyDescent="0.25">
      <c r="B412" t="str">
        <f>IF(COUNTIF('Pull Data'!B$2:B$1000, A412) &gt; 0, A412, "")</f>
        <v/>
      </c>
      <c r="C412" t="str">
        <f t="shared" si="12"/>
        <v/>
      </c>
      <c r="F412" t="str">
        <f>IF(COUNTIF('Pull Data'!C$2:C$1000, E412) &gt; 0, E412, "")</f>
        <v/>
      </c>
      <c r="G412" t="str">
        <f t="shared" si="13"/>
        <v/>
      </c>
    </row>
    <row r="413" spans="2:7" x14ac:dyDescent="0.25">
      <c r="B413" t="str">
        <f>IF(COUNTIF('Pull Data'!B$2:B$1000, A413) &gt; 0, A413, "")</f>
        <v/>
      </c>
      <c r="C413" t="str">
        <f t="shared" si="12"/>
        <v/>
      </c>
      <c r="F413" t="str">
        <f>IF(COUNTIF('Pull Data'!C$2:C$1000, E413) &gt; 0, E413, "")</f>
        <v/>
      </c>
      <c r="G413" t="str">
        <f t="shared" si="13"/>
        <v/>
      </c>
    </row>
    <row r="414" spans="2:7" x14ac:dyDescent="0.25">
      <c r="B414" t="str">
        <f>IF(COUNTIF('Pull Data'!B$2:B$1000, A414) &gt; 0, A414, "")</f>
        <v/>
      </c>
      <c r="C414" t="str">
        <f t="shared" si="12"/>
        <v/>
      </c>
      <c r="F414" t="str">
        <f>IF(COUNTIF('Pull Data'!C$2:C$1000, E414) &gt; 0, E414, "")</f>
        <v/>
      </c>
      <c r="G414" t="str">
        <f t="shared" si="13"/>
        <v/>
      </c>
    </row>
    <row r="415" spans="2:7" x14ac:dyDescent="0.25">
      <c r="B415" t="str">
        <f>IF(COUNTIF('Pull Data'!B$2:B$1000, A415) &gt; 0, A415, "")</f>
        <v/>
      </c>
      <c r="C415" t="str">
        <f t="shared" si="12"/>
        <v/>
      </c>
      <c r="F415" t="str">
        <f>IF(COUNTIF('Pull Data'!C$2:C$1000, E415) &gt; 0, E415, "")</f>
        <v/>
      </c>
      <c r="G415" t="str">
        <f t="shared" si="13"/>
        <v/>
      </c>
    </row>
    <row r="416" spans="2:7" x14ac:dyDescent="0.25">
      <c r="B416" t="str">
        <f>IF(COUNTIF('Pull Data'!B$2:B$1000, A416) &gt; 0, A416, "")</f>
        <v/>
      </c>
      <c r="C416" t="str">
        <f t="shared" si="12"/>
        <v/>
      </c>
      <c r="F416" t="str">
        <f>IF(COUNTIF('Pull Data'!C$2:C$1000, E416) &gt; 0, E416, "")</f>
        <v/>
      </c>
      <c r="G416" t="str">
        <f t="shared" si="13"/>
        <v/>
      </c>
    </row>
    <row r="417" spans="2:7" x14ac:dyDescent="0.25">
      <c r="B417" t="str">
        <f>IF(COUNTIF('Pull Data'!B$2:B$1000, A417) &gt; 0, A417, "")</f>
        <v/>
      </c>
      <c r="C417" t="str">
        <f t="shared" si="12"/>
        <v/>
      </c>
      <c r="F417" t="str">
        <f>IF(COUNTIF('Pull Data'!C$2:C$1000, E417) &gt; 0, E417, "")</f>
        <v/>
      </c>
      <c r="G417" t="str">
        <f t="shared" si="13"/>
        <v/>
      </c>
    </row>
    <row r="418" spans="2:7" x14ac:dyDescent="0.25">
      <c r="B418" t="str">
        <f>IF(COUNTIF('Pull Data'!B$2:B$1000, A418) &gt; 0, A418, "")</f>
        <v/>
      </c>
      <c r="C418" t="str">
        <f t="shared" si="12"/>
        <v/>
      </c>
      <c r="F418" t="str">
        <f>IF(COUNTIF('Pull Data'!C$2:C$1000, E418) &gt; 0, E418, "")</f>
        <v/>
      </c>
      <c r="G418" t="str">
        <f t="shared" si="13"/>
        <v/>
      </c>
    </row>
    <row r="419" spans="2:7" x14ac:dyDescent="0.25">
      <c r="B419" t="str">
        <f>IF(COUNTIF('Pull Data'!B$2:B$1000, A419) &gt; 0, A419, "")</f>
        <v/>
      </c>
      <c r="C419" t="str">
        <f t="shared" si="12"/>
        <v/>
      </c>
      <c r="F419" t="str">
        <f>IF(COUNTIF('Pull Data'!C$2:C$1000, E419) &gt; 0, E419, "")</f>
        <v/>
      </c>
      <c r="G419" t="str">
        <f t="shared" si="13"/>
        <v/>
      </c>
    </row>
    <row r="420" spans="2:7" x14ac:dyDescent="0.25">
      <c r="B420" t="str">
        <f>IF(COUNTIF('Pull Data'!B$2:B$1000, A420) &gt; 0, A420, "")</f>
        <v/>
      </c>
      <c r="C420" t="str">
        <f t="shared" si="12"/>
        <v/>
      </c>
      <c r="F420" t="str">
        <f>IF(COUNTIF('Pull Data'!C$2:C$1000, E420) &gt; 0, E420, "")</f>
        <v/>
      </c>
      <c r="G420" t="str">
        <f t="shared" si="13"/>
        <v/>
      </c>
    </row>
    <row r="421" spans="2:7" x14ac:dyDescent="0.25">
      <c r="B421" t="str">
        <f>IF(COUNTIF('Pull Data'!B$2:B$1000, A421) &gt; 0, A421, "")</f>
        <v/>
      </c>
      <c r="C421" t="str">
        <f t="shared" si="12"/>
        <v/>
      </c>
      <c r="F421" t="str">
        <f>IF(COUNTIF('Pull Data'!C$2:C$1000, E421) &gt; 0, E421, "")</f>
        <v/>
      </c>
      <c r="G421" t="str">
        <f t="shared" si="13"/>
        <v/>
      </c>
    </row>
    <row r="422" spans="2:7" x14ac:dyDescent="0.25">
      <c r="B422" t="str">
        <f>IF(COUNTIF('Pull Data'!B$2:B$1000, A422) &gt; 0, A422, "")</f>
        <v/>
      </c>
      <c r="C422" t="str">
        <f t="shared" si="12"/>
        <v/>
      </c>
      <c r="F422" t="str">
        <f>IF(COUNTIF('Pull Data'!C$2:C$1000, E422) &gt; 0, E422, "")</f>
        <v/>
      </c>
      <c r="G422" t="str">
        <f t="shared" si="13"/>
        <v/>
      </c>
    </row>
    <row r="423" spans="2:7" x14ac:dyDescent="0.25">
      <c r="B423" t="str">
        <f>IF(COUNTIF('Pull Data'!B$2:B$1000, A423) &gt; 0, A423, "")</f>
        <v/>
      </c>
      <c r="C423" t="str">
        <f t="shared" si="12"/>
        <v/>
      </c>
      <c r="F423" t="str">
        <f>IF(COUNTIF('Pull Data'!C$2:C$1000, E423) &gt; 0, E423, "")</f>
        <v/>
      </c>
      <c r="G423" t="str">
        <f t="shared" si="13"/>
        <v/>
      </c>
    </row>
    <row r="424" spans="2:7" x14ac:dyDescent="0.25">
      <c r="B424" t="str">
        <f>IF(COUNTIF('Pull Data'!B$2:B$1000, A424) &gt; 0, A424, "")</f>
        <v/>
      </c>
      <c r="C424" t="str">
        <f t="shared" si="12"/>
        <v/>
      </c>
      <c r="F424" t="str">
        <f>IF(COUNTIF('Pull Data'!C$2:C$1000, E424) &gt; 0, E424, "")</f>
        <v/>
      </c>
      <c r="G424" t="str">
        <f t="shared" si="13"/>
        <v/>
      </c>
    </row>
    <row r="425" spans="2:7" x14ac:dyDescent="0.25">
      <c r="B425" t="str">
        <f>IF(COUNTIF('Pull Data'!B$2:B$1000, A425) &gt; 0, A425, "")</f>
        <v/>
      </c>
      <c r="C425" t="str">
        <f t="shared" si="12"/>
        <v/>
      </c>
      <c r="F425" t="str">
        <f>IF(COUNTIF('Pull Data'!C$2:C$1000, E425) &gt; 0, E425, "")</f>
        <v/>
      </c>
      <c r="G425" t="str">
        <f t="shared" si="13"/>
        <v/>
      </c>
    </row>
    <row r="426" spans="2:7" x14ac:dyDescent="0.25">
      <c r="B426" t="str">
        <f>IF(COUNTIF('Pull Data'!B$2:B$1000, A426) &gt; 0, A426, "")</f>
        <v/>
      </c>
      <c r="C426" t="str">
        <f t="shared" si="12"/>
        <v/>
      </c>
      <c r="F426" t="str">
        <f>IF(COUNTIF('Pull Data'!C$2:C$1000, E426) &gt; 0, E426, "")</f>
        <v/>
      </c>
      <c r="G426" t="str">
        <f t="shared" si="13"/>
        <v/>
      </c>
    </row>
    <row r="427" spans="2:7" x14ac:dyDescent="0.25">
      <c r="B427" t="str">
        <f>IF(COUNTIF('Pull Data'!B$2:B$1000, A427) &gt; 0, A427, "")</f>
        <v/>
      </c>
      <c r="C427" t="str">
        <f t="shared" si="12"/>
        <v/>
      </c>
      <c r="F427" t="str">
        <f>IF(COUNTIF('Pull Data'!C$2:C$1000, E427) &gt; 0, E427, "")</f>
        <v/>
      </c>
      <c r="G427" t="str">
        <f t="shared" si="13"/>
        <v/>
      </c>
    </row>
    <row r="428" spans="2:7" x14ac:dyDescent="0.25">
      <c r="B428" t="str">
        <f>IF(COUNTIF('Pull Data'!B$2:B$1000, A428) &gt; 0, A428, "")</f>
        <v/>
      </c>
      <c r="C428" t="str">
        <f t="shared" si="12"/>
        <v/>
      </c>
      <c r="F428" t="str">
        <f>IF(COUNTIF('Pull Data'!C$2:C$1000, E428) &gt; 0, E428, "")</f>
        <v/>
      </c>
      <c r="G428" t="str">
        <f t="shared" si="13"/>
        <v/>
      </c>
    </row>
    <row r="429" spans="2:7" x14ac:dyDescent="0.25">
      <c r="B429" t="str">
        <f>IF(COUNTIF('Pull Data'!B$2:B$1000, A429) &gt; 0, A429, "")</f>
        <v/>
      </c>
      <c r="C429" t="str">
        <f t="shared" si="12"/>
        <v/>
      </c>
      <c r="F429" t="str">
        <f>IF(COUNTIF('Pull Data'!C$2:C$1000, E429) &gt; 0, E429, "")</f>
        <v/>
      </c>
      <c r="G429" t="str">
        <f t="shared" si="13"/>
        <v/>
      </c>
    </row>
    <row r="430" spans="2:7" x14ac:dyDescent="0.25">
      <c r="B430" t="str">
        <f>IF(COUNTIF('Pull Data'!B$2:B$1000, A430) &gt; 0, A430, "")</f>
        <v/>
      </c>
      <c r="C430" t="str">
        <f t="shared" si="12"/>
        <v/>
      </c>
      <c r="F430" t="str">
        <f>IF(COUNTIF('Pull Data'!C$2:C$1000, E430) &gt; 0, E430, "")</f>
        <v/>
      </c>
      <c r="G430" t="str">
        <f t="shared" si="13"/>
        <v/>
      </c>
    </row>
    <row r="431" spans="2:7" x14ac:dyDescent="0.25">
      <c r="B431" t="str">
        <f>IF(COUNTIF('Pull Data'!B$2:B$1000, A431) &gt; 0, A431, "")</f>
        <v/>
      </c>
      <c r="C431" t="str">
        <f t="shared" si="12"/>
        <v/>
      </c>
      <c r="F431" t="str">
        <f>IF(COUNTIF('Pull Data'!C$2:C$1000, E431) &gt; 0, E431, "")</f>
        <v/>
      </c>
      <c r="G431" t="str">
        <f t="shared" si="13"/>
        <v/>
      </c>
    </row>
    <row r="432" spans="2:7" x14ac:dyDescent="0.25">
      <c r="B432" t="str">
        <f>IF(COUNTIF('Pull Data'!B$2:B$1000, A432) &gt; 0, A432, "")</f>
        <v/>
      </c>
      <c r="C432" t="str">
        <f t="shared" si="12"/>
        <v/>
      </c>
      <c r="F432" t="str">
        <f>IF(COUNTIF('Pull Data'!C$2:C$1000, E432) &gt; 0, E432, "")</f>
        <v/>
      </c>
      <c r="G432" t="str">
        <f t="shared" si="13"/>
        <v/>
      </c>
    </row>
    <row r="433" spans="2:7" x14ac:dyDescent="0.25">
      <c r="B433" t="str">
        <f>IF(COUNTIF('Pull Data'!B$2:B$1000, A433) &gt; 0, A433, "")</f>
        <v/>
      </c>
      <c r="C433" t="str">
        <f t="shared" si="12"/>
        <v/>
      </c>
      <c r="F433" t="str">
        <f>IF(COUNTIF('Pull Data'!C$2:C$1000, E433) &gt; 0, E433, "")</f>
        <v/>
      </c>
      <c r="G433" t="str">
        <f t="shared" si="13"/>
        <v/>
      </c>
    </row>
    <row r="434" spans="2:7" x14ac:dyDescent="0.25">
      <c r="B434" t="str">
        <f>IF(COUNTIF('Pull Data'!B$2:B$1000, A434) &gt; 0, A434, "")</f>
        <v/>
      </c>
      <c r="C434" t="str">
        <f t="shared" si="12"/>
        <v/>
      </c>
      <c r="F434" t="str">
        <f>IF(COUNTIF('Pull Data'!C$2:C$1000, E434) &gt; 0, E434, "")</f>
        <v/>
      </c>
      <c r="G434" t="str">
        <f t="shared" si="13"/>
        <v/>
      </c>
    </row>
    <row r="435" spans="2:7" x14ac:dyDescent="0.25">
      <c r="B435" t="str">
        <f>IF(COUNTIF('Pull Data'!B$2:B$1000, A435) &gt; 0, A435, "")</f>
        <v/>
      </c>
      <c r="C435" t="str">
        <f t="shared" si="12"/>
        <v/>
      </c>
      <c r="F435" t="str">
        <f>IF(COUNTIF('Pull Data'!C$2:C$1000, E435) &gt; 0, E435, "")</f>
        <v/>
      </c>
      <c r="G435" t="str">
        <f t="shared" si="13"/>
        <v/>
      </c>
    </row>
    <row r="436" spans="2:7" x14ac:dyDescent="0.25">
      <c r="B436" t="str">
        <f>IF(COUNTIF('Pull Data'!B$2:B$1000, A436) &gt; 0, A436, "")</f>
        <v/>
      </c>
      <c r="C436" t="str">
        <f t="shared" si="12"/>
        <v/>
      </c>
      <c r="F436" t="str">
        <f>IF(COUNTIF('Pull Data'!C$2:C$1000, E436) &gt; 0, E436, "")</f>
        <v/>
      </c>
      <c r="G436" t="str">
        <f t="shared" si="13"/>
        <v/>
      </c>
    </row>
    <row r="437" spans="2:7" x14ac:dyDescent="0.25">
      <c r="B437" t="str">
        <f>IF(COUNTIF('Pull Data'!B$2:B$1000, A437) &gt; 0, A437, "")</f>
        <v/>
      </c>
      <c r="C437" t="str">
        <f t="shared" si="12"/>
        <v/>
      </c>
      <c r="F437" t="str">
        <f>IF(COUNTIF('Pull Data'!C$2:C$1000, E437) &gt; 0, E437, "")</f>
        <v/>
      </c>
      <c r="G437" t="str">
        <f t="shared" si="13"/>
        <v/>
      </c>
    </row>
    <row r="438" spans="2:7" x14ac:dyDescent="0.25">
      <c r="B438" t="str">
        <f>IF(COUNTIF('Pull Data'!B$2:B$1000, A438) &gt; 0, A438, "")</f>
        <v/>
      </c>
      <c r="C438" t="str">
        <f t="shared" si="12"/>
        <v/>
      </c>
      <c r="F438" t="str">
        <f>IF(COUNTIF('Pull Data'!C$2:C$1000, E438) &gt; 0, E438, "")</f>
        <v/>
      </c>
      <c r="G438" t="str">
        <f t="shared" si="13"/>
        <v/>
      </c>
    </row>
    <row r="439" spans="2:7" x14ac:dyDescent="0.25">
      <c r="B439" t="str">
        <f>IF(COUNTIF('Pull Data'!B$2:B$1000, A439) &gt; 0, A439, "")</f>
        <v/>
      </c>
      <c r="C439" t="str">
        <f t="shared" si="12"/>
        <v/>
      </c>
      <c r="F439" t="str">
        <f>IF(COUNTIF('Pull Data'!C$2:C$1000, E439) &gt; 0, E439, "")</f>
        <v/>
      </c>
      <c r="G439" t="str">
        <f t="shared" si="13"/>
        <v/>
      </c>
    </row>
    <row r="440" spans="2:7" x14ac:dyDescent="0.25">
      <c r="B440" t="str">
        <f>IF(COUNTIF('Pull Data'!B$2:B$1000, A440) &gt; 0, A440, "")</f>
        <v/>
      </c>
      <c r="C440" t="str">
        <f t="shared" si="12"/>
        <v/>
      </c>
      <c r="F440" t="str">
        <f>IF(COUNTIF('Pull Data'!C$2:C$1000, E440) &gt; 0, E440, "")</f>
        <v/>
      </c>
      <c r="G440" t="str">
        <f t="shared" si="13"/>
        <v/>
      </c>
    </row>
    <row r="441" spans="2:7" x14ac:dyDescent="0.25">
      <c r="B441" t="str">
        <f>IF(COUNTIF('Pull Data'!B$2:B$1000, A441) &gt; 0, A441, "")</f>
        <v/>
      </c>
      <c r="C441" t="str">
        <f t="shared" si="12"/>
        <v/>
      </c>
      <c r="F441" t="str">
        <f>IF(COUNTIF('Pull Data'!C$2:C$1000, E441) &gt; 0, E441, "")</f>
        <v/>
      </c>
      <c r="G441" t="str">
        <f t="shared" si="13"/>
        <v/>
      </c>
    </row>
    <row r="442" spans="2:7" x14ac:dyDescent="0.25">
      <c r="B442" t="str">
        <f>IF(COUNTIF('Pull Data'!B$2:B$1000, A442) &gt; 0, A442, "")</f>
        <v/>
      </c>
      <c r="C442" t="str">
        <f t="shared" si="12"/>
        <v/>
      </c>
      <c r="F442" t="str">
        <f>IF(COUNTIF('Pull Data'!C$2:C$1000, E442) &gt; 0, E442, "")</f>
        <v/>
      </c>
      <c r="G442" t="str">
        <f t="shared" si="13"/>
        <v/>
      </c>
    </row>
    <row r="443" spans="2:7" x14ac:dyDescent="0.25">
      <c r="B443" t="str">
        <f>IF(COUNTIF('Pull Data'!B$2:B$1000, A443) &gt; 0, A443, "")</f>
        <v/>
      </c>
      <c r="C443" t="str">
        <f t="shared" si="12"/>
        <v/>
      </c>
      <c r="F443" t="str">
        <f>IF(COUNTIF('Pull Data'!C$2:C$1000, E443) &gt; 0, E443, "")</f>
        <v/>
      </c>
      <c r="G443" t="str">
        <f t="shared" si="13"/>
        <v/>
      </c>
    </row>
    <row r="444" spans="2:7" x14ac:dyDescent="0.25">
      <c r="B444" t="str">
        <f>IF(COUNTIF('Pull Data'!B$2:B$1000, A444) &gt; 0, A444, "")</f>
        <v/>
      </c>
      <c r="C444" t="str">
        <f t="shared" si="12"/>
        <v/>
      </c>
      <c r="F444" t="str">
        <f>IF(COUNTIF('Pull Data'!C$2:C$1000, E444) &gt; 0, E444, "")</f>
        <v/>
      </c>
      <c r="G444" t="str">
        <f t="shared" si="13"/>
        <v/>
      </c>
    </row>
    <row r="445" spans="2:7" x14ac:dyDescent="0.25">
      <c r="B445" t="str">
        <f>IF(COUNTIF('Pull Data'!B$2:B$1000, A445) &gt; 0, A445, "")</f>
        <v/>
      </c>
      <c r="C445" t="str">
        <f t="shared" si="12"/>
        <v/>
      </c>
      <c r="F445" t="str">
        <f>IF(COUNTIF('Pull Data'!C$2:C$1000, E445) &gt; 0, E445, "")</f>
        <v/>
      </c>
      <c r="G445" t="str">
        <f t="shared" si="13"/>
        <v/>
      </c>
    </row>
    <row r="446" spans="2:7" x14ac:dyDescent="0.25">
      <c r="B446" t="str">
        <f>IF(COUNTIF('Pull Data'!B$2:B$1000, A446) &gt; 0, A446, "")</f>
        <v/>
      </c>
      <c r="C446" t="str">
        <f t="shared" si="12"/>
        <v/>
      </c>
      <c r="F446" t="str">
        <f>IF(COUNTIF('Pull Data'!C$2:C$1000, E446) &gt; 0, E446, "")</f>
        <v/>
      </c>
      <c r="G446" t="str">
        <f t="shared" si="13"/>
        <v/>
      </c>
    </row>
    <row r="447" spans="2:7" x14ac:dyDescent="0.25">
      <c r="B447" t="str">
        <f>IF(COUNTIF('Pull Data'!B$2:B$1000, A447) &gt; 0, A447, "")</f>
        <v/>
      </c>
      <c r="C447" t="str">
        <f t="shared" si="12"/>
        <v/>
      </c>
      <c r="F447" t="str">
        <f>IF(COUNTIF('Pull Data'!C$2:C$1000, E447) &gt; 0, E447, "")</f>
        <v/>
      </c>
      <c r="G447" t="str">
        <f t="shared" si="13"/>
        <v/>
      </c>
    </row>
    <row r="448" spans="2:7" x14ac:dyDescent="0.25">
      <c r="B448" t="str">
        <f>IF(COUNTIF('Pull Data'!B$2:B$1000, A448) &gt; 0, A448, "")</f>
        <v/>
      </c>
      <c r="C448" t="str">
        <f t="shared" si="12"/>
        <v/>
      </c>
      <c r="F448" t="str">
        <f>IF(COUNTIF('Pull Data'!C$2:C$1000, E448) &gt; 0, E448, "")</f>
        <v/>
      </c>
      <c r="G448" t="str">
        <f t="shared" si="13"/>
        <v/>
      </c>
    </row>
    <row r="449" spans="2:7" x14ac:dyDescent="0.25">
      <c r="B449" t="str">
        <f>IF(COUNTIF('Pull Data'!B$2:B$1000, A449) &gt; 0, A449, "")</f>
        <v/>
      </c>
      <c r="C449" t="str">
        <f t="shared" si="12"/>
        <v/>
      </c>
      <c r="F449" t="str">
        <f>IF(COUNTIF('Pull Data'!C$2:C$1000, E449) &gt; 0, E449, "")</f>
        <v/>
      </c>
      <c r="G449" t="str">
        <f t="shared" si="13"/>
        <v/>
      </c>
    </row>
    <row r="450" spans="2:7" x14ac:dyDescent="0.25">
      <c r="B450" t="str">
        <f>IF(COUNTIF('Pull Data'!B$2:B$1000, A450) &gt; 0, A450, "")</f>
        <v/>
      </c>
      <c r="C450" t="str">
        <f t="shared" si="12"/>
        <v/>
      </c>
      <c r="F450" t="str">
        <f>IF(COUNTIF('Pull Data'!C$2:C$1000, E450) &gt; 0, E450, "")</f>
        <v/>
      </c>
      <c r="G450" t="str">
        <f t="shared" si="13"/>
        <v/>
      </c>
    </row>
    <row r="451" spans="2:7" x14ac:dyDescent="0.25">
      <c r="B451" t="str">
        <f>IF(COUNTIF('Pull Data'!B$2:B$1000, A451) &gt; 0, A451, "")</f>
        <v/>
      </c>
      <c r="C451" t="str">
        <f t="shared" ref="C451:C500" si="14">IF(AND(A451="", B451=""), "", IF(A451&lt;&gt;B451, "Custodian Does Not Appear in Data", "Custodian Appears in Data"))</f>
        <v/>
      </c>
      <c r="F451" t="str">
        <f>IF(COUNTIF('Pull Data'!C$2:C$1000, E451) &gt; 0, E451, "")</f>
        <v/>
      </c>
      <c r="G451" t="str">
        <f t="shared" ref="G451:G500" si="15">IF(AND(E451="", F451=""), "", IF(E451&lt;&gt;F451, "c/o Does Not Appear in Data", "c/o Appears in Data"))</f>
        <v/>
      </c>
    </row>
    <row r="452" spans="2:7" x14ac:dyDescent="0.25">
      <c r="B452" t="str">
        <f>IF(COUNTIF('Pull Data'!B$2:B$1000, A452) &gt; 0, A452, "")</f>
        <v/>
      </c>
      <c r="C452" t="str">
        <f t="shared" si="14"/>
        <v/>
      </c>
      <c r="F452" t="str">
        <f>IF(COUNTIF('Pull Data'!C$2:C$1000, E452) &gt; 0, E452, "")</f>
        <v/>
      </c>
      <c r="G452" t="str">
        <f t="shared" si="15"/>
        <v/>
      </c>
    </row>
    <row r="453" spans="2:7" x14ac:dyDescent="0.25">
      <c r="B453" t="str">
        <f>IF(COUNTIF('Pull Data'!B$2:B$1000, A453) &gt; 0, A453, "")</f>
        <v/>
      </c>
      <c r="C453" t="str">
        <f t="shared" si="14"/>
        <v/>
      </c>
      <c r="F453" t="str">
        <f>IF(COUNTIF('Pull Data'!C$2:C$1000, E453) &gt; 0, E453, "")</f>
        <v/>
      </c>
      <c r="G453" t="str">
        <f t="shared" si="15"/>
        <v/>
      </c>
    </row>
    <row r="454" spans="2:7" x14ac:dyDescent="0.25">
      <c r="B454" t="str">
        <f>IF(COUNTIF('Pull Data'!B$2:B$1000, A454) &gt; 0, A454, "")</f>
        <v/>
      </c>
      <c r="C454" t="str">
        <f t="shared" si="14"/>
        <v/>
      </c>
      <c r="F454" t="str">
        <f>IF(COUNTIF('Pull Data'!C$2:C$1000, E454) &gt; 0, E454, "")</f>
        <v/>
      </c>
      <c r="G454" t="str">
        <f t="shared" si="15"/>
        <v/>
      </c>
    </row>
    <row r="455" spans="2:7" x14ac:dyDescent="0.25">
      <c r="B455" t="str">
        <f>IF(COUNTIF('Pull Data'!B$2:B$1000, A455) &gt; 0, A455, "")</f>
        <v/>
      </c>
      <c r="C455" t="str">
        <f t="shared" si="14"/>
        <v/>
      </c>
      <c r="F455" t="str">
        <f>IF(COUNTIF('Pull Data'!C$2:C$1000, E455) &gt; 0, E455, "")</f>
        <v/>
      </c>
      <c r="G455" t="str">
        <f t="shared" si="15"/>
        <v/>
      </c>
    </row>
    <row r="456" spans="2:7" x14ac:dyDescent="0.25">
      <c r="B456" t="str">
        <f>IF(COUNTIF('Pull Data'!B$2:B$1000, A456) &gt; 0, A456, "")</f>
        <v/>
      </c>
      <c r="C456" t="str">
        <f t="shared" si="14"/>
        <v/>
      </c>
      <c r="F456" t="str">
        <f>IF(COUNTIF('Pull Data'!C$2:C$1000, E456) &gt; 0, E456, "")</f>
        <v/>
      </c>
      <c r="G456" t="str">
        <f t="shared" si="15"/>
        <v/>
      </c>
    </row>
    <row r="457" spans="2:7" x14ac:dyDescent="0.25">
      <c r="B457" t="str">
        <f>IF(COUNTIF('Pull Data'!B$2:B$1000, A457) &gt; 0, A457, "")</f>
        <v/>
      </c>
      <c r="C457" t="str">
        <f t="shared" si="14"/>
        <v/>
      </c>
      <c r="F457" t="str">
        <f>IF(COUNTIF('Pull Data'!C$2:C$1000, E457) &gt; 0, E457, "")</f>
        <v/>
      </c>
      <c r="G457" t="str">
        <f t="shared" si="15"/>
        <v/>
      </c>
    </row>
    <row r="458" spans="2:7" x14ac:dyDescent="0.25">
      <c r="B458" t="str">
        <f>IF(COUNTIF('Pull Data'!B$2:B$1000, A458) &gt; 0, A458, "")</f>
        <v/>
      </c>
      <c r="C458" t="str">
        <f t="shared" si="14"/>
        <v/>
      </c>
      <c r="F458" t="str">
        <f>IF(COUNTIF('Pull Data'!C$2:C$1000, E458) &gt; 0, E458, "")</f>
        <v/>
      </c>
      <c r="G458" t="str">
        <f t="shared" si="15"/>
        <v/>
      </c>
    </row>
    <row r="459" spans="2:7" x14ac:dyDescent="0.25">
      <c r="B459" t="str">
        <f>IF(COUNTIF('Pull Data'!B$2:B$1000, A459) &gt; 0, A459, "")</f>
        <v/>
      </c>
      <c r="C459" t="str">
        <f t="shared" si="14"/>
        <v/>
      </c>
      <c r="F459" t="str">
        <f>IF(COUNTIF('Pull Data'!C$2:C$1000, E459) &gt; 0, E459, "")</f>
        <v/>
      </c>
      <c r="G459" t="str">
        <f t="shared" si="15"/>
        <v/>
      </c>
    </row>
    <row r="460" spans="2:7" x14ac:dyDescent="0.25">
      <c r="B460" t="str">
        <f>IF(COUNTIF('Pull Data'!B$2:B$1000, A460) &gt; 0, A460, "")</f>
        <v/>
      </c>
      <c r="C460" t="str">
        <f t="shared" si="14"/>
        <v/>
      </c>
      <c r="F460" t="str">
        <f>IF(COUNTIF('Pull Data'!C$2:C$1000, E460) &gt; 0, E460, "")</f>
        <v/>
      </c>
      <c r="G460" t="str">
        <f t="shared" si="15"/>
        <v/>
      </c>
    </row>
    <row r="461" spans="2:7" x14ac:dyDescent="0.25">
      <c r="B461" t="str">
        <f>IF(COUNTIF('Pull Data'!B$2:B$1000, A461) &gt; 0, A461, "")</f>
        <v/>
      </c>
      <c r="C461" t="str">
        <f t="shared" si="14"/>
        <v/>
      </c>
      <c r="F461" t="str">
        <f>IF(COUNTIF('Pull Data'!C$2:C$1000, E461) &gt; 0, E461, "")</f>
        <v/>
      </c>
      <c r="G461" t="str">
        <f t="shared" si="15"/>
        <v/>
      </c>
    </row>
    <row r="462" spans="2:7" x14ac:dyDescent="0.25">
      <c r="B462" t="str">
        <f>IF(COUNTIF('Pull Data'!B$2:B$1000, A462) &gt; 0, A462, "")</f>
        <v/>
      </c>
      <c r="C462" t="str">
        <f t="shared" si="14"/>
        <v/>
      </c>
      <c r="F462" t="str">
        <f>IF(COUNTIF('Pull Data'!C$2:C$1000, E462) &gt; 0, E462, "")</f>
        <v/>
      </c>
      <c r="G462" t="str">
        <f t="shared" si="15"/>
        <v/>
      </c>
    </row>
    <row r="463" spans="2:7" x14ac:dyDescent="0.25">
      <c r="B463" t="str">
        <f>IF(COUNTIF('Pull Data'!B$2:B$1000, A463) &gt; 0, A463, "")</f>
        <v/>
      </c>
      <c r="C463" t="str">
        <f t="shared" si="14"/>
        <v/>
      </c>
      <c r="F463" t="str">
        <f>IF(COUNTIF('Pull Data'!C$2:C$1000, E463) &gt; 0, E463, "")</f>
        <v/>
      </c>
      <c r="G463" t="str">
        <f t="shared" si="15"/>
        <v/>
      </c>
    </row>
    <row r="464" spans="2:7" x14ac:dyDescent="0.25">
      <c r="B464" t="str">
        <f>IF(COUNTIF('Pull Data'!B$2:B$1000, A464) &gt; 0, A464, "")</f>
        <v/>
      </c>
      <c r="C464" t="str">
        <f t="shared" si="14"/>
        <v/>
      </c>
      <c r="F464" t="str">
        <f>IF(COUNTIF('Pull Data'!C$2:C$1000, E464) &gt; 0, E464, "")</f>
        <v/>
      </c>
      <c r="G464" t="str">
        <f t="shared" si="15"/>
        <v/>
      </c>
    </row>
    <row r="465" spans="2:7" x14ac:dyDescent="0.25">
      <c r="B465" t="str">
        <f>IF(COUNTIF('Pull Data'!B$2:B$1000, A465) &gt; 0, A465, "")</f>
        <v/>
      </c>
      <c r="C465" t="str">
        <f t="shared" si="14"/>
        <v/>
      </c>
      <c r="F465" t="str">
        <f>IF(COUNTIF('Pull Data'!C$2:C$1000, E465) &gt; 0, E465, "")</f>
        <v/>
      </c>
      <c r="G465" t="str">
        <f t="shared" si="15"/>
        <v/>
      </c>
    </row>
    <row r="466" spans="2:7" x14ac:dyDescent="0.25">
      <c r="B466" t="str">
        <f>IF(COUNTIF('Pull Data'!B$2:B$1000, A466) &gt; 0, A466, "")</f>
        <v/>
      </c>
      <c r="C466" t="str">
        <f t="shared" si="14"/>
        <v/>
      </c>
      <c r="F466" t="str">
        <f>IF(COUNTIF('Pull Data'!C$2:C$1000, E466) &gt; 0, E466, "")</f>
        <v/>
      </c>
      <c r="G466" t="str">
        <f t="shared" si="15"/>
        <v/>
      </c>
    </row>
    <row r="467" spans="2:7" x14ac:dyDescent="0.25">
      <c r="B467" t="str">
        <f>IF(COUNTIF('Pull Data'!B$2:B$1000, A467) &gt; 0, A467, "")</f>
        <v/>
      </c>
      <c r="C467" t="str">
        <f t="shared" si="14"/>
        <v/>
      </c>
      <c r="F467" t="str">
        <f>IF(COUNTIF('Pull Data'!C$2:C$1000, E467) &gt; 0, E467, "")</f>
        <v/>
      </c>
      <c r="G467" t="str">
        <f t="shared" si="15"/>
        <v/>
      </c>
    </row>
    <row r="468" spans="2:7" x14ac:dyDescent="0.25">
      <c r="B468" t="str">
        <f>IF(COUNTIF('Pull Data'!B$2:B$1000, A468) &gt; 0, A468, "")</f>
        <v/>
      </c>
      <c r="C468" t="str">
        <f t="shared" si="14"/>
        <v/>
      </c>
      <c r="F468" t="str">
        <f>IF(COUNTIF('Pull Data'!C$2:C$1000, E468) &gt; 0, E468, "")</f>
        <v/>
      </c>
      <c r="G468" t="str">
        <f t="shared" si="15"/>
        <v/>
      </c>
    </row>
    <row r="469" spans="2:7" x14ac:dyDescent="0.25">
      <c r="B469" t="str">
        <f>IF(COUNTIF('Pull Data'!B$2:B$1000, A469) &gt; 0, A469, "")</f>
        <v/>
      </c>
      <c r="C469" t="str">
        <f t="shared" si="14"/>
        <v/>
      </c>
      <c r="F469" t="str">
        <f>IF(COUNTIF('Pull Data'!C$2:C$1000, E469) &gt; 0, E469, "")</f>
        <v/>
      </c>
      <c r="G469" t="str">
        <f t="shared" si="15"/>
        <v/>
      </c>
    </row>
    <row r="470" spans="2:7" x14ac:dyDescent="0.25">
      <c r="B470" t="str">
        <f>IF(COUNTIF('Pull Data'!B$2:B$1000, A470) &gt; 0, A470, "")</f>
        <v/>
      </c>
      <c r="C470" t="str">
        <f t="shared" si="14"/>
        <v/>
      </c>
      <c r="F470" t="str">
        <f>IF(COUNTIF('Pull Data'!C$2:C$1000, E470) &gt; 0, E470, "")</f>
        <v/>
      </c>
      <c r="G470" t="str">
        <f t="shared" si="15"/>
        <v/>
      </c>
    </row>
    <row r="471" spans="2:7" x14ac:dyDescent="0.25">
      <c r="B471" t="str">
        <f>IF(COUNTIF('Pull Data'!B$2:B$1000, A471) &gt; 0, A471, "")</f>
        <v/>
      </c>
      <c r="C471" t="str">
        <f t="shared" si="14"/>
        <v/>
      </c>
      <c r="F471" t="str">
        <f>IF(COUNTIF('Pull Data'!C$2:C$1000, E471) &gt; 0, E471, "")</f>
        <v/>
      </c>
      <c r="G471" t="str">
        <f t="shared" si="15"/>
        <v/>
      </c>
    </row>
    <row r="472" spans="2:7" x14ac:dyDescent="0.25">
      <c r="B472" t="str">
        <f>IF(COUNTIF('Pull Data'!B$2:B$1000, A472) &gt; 0, A472, "")</f>
        <v/>
      </c>
      <c r="C472" t="str">
        <f t="shared" si="14"/>
        <v/>
      </c>
      <c r="F472" t="str">
        <f>IF(COUNTIF('Pull Data'!C$2:C$1000, E472) &gt; 0, E472, "")</f>
        <v/>
      </c>
      <c r="G472" t="str">
        <f t="shared" si="15"/>
        <v/>
      </c>
    </row>
    <row r="473" spans="2:7" x14ac:dyDescent="0.25">
      <c r="B473" t="str">
        <f>IF(COUNTIF('Pull Data'!B$2:B$1000, A473) &gt; 0, A473, "")</f>
        <v/>
      </c>
      <c r="C473" t="str">
        <f t="shared" si="14"/>
        <v/>
      </c>
      <c r="F473" t="str">
        <f>IF(COUNTIF('Pull Data'!C$2:C$1000, E473) &gt; 0, E473, "")</f>
        <v/>
      </c>
      <c r="G473" t="str">
        <f t="shared" si="15"/>
        <v/>
      </c>
    </row>
    <row r="474" spans="2:7" x14ac:dyDescent="0.25">
      <c r="B474" t="str">
        <f>IF(COUNTIF('Pull Data'!B$2:B$1000, A474) &gt; 0, A474, "")</f>
        <v/>
      </c>
      <c r="C474" t="str">
        <f t="shared" si="14"/>
        <v/>
      </c>
      <c r="F474" t="str">
        <f>IF(COUNTIF('Pull Data'!C$2:C$1000, E474) &gt; 0, E474, "")</f>
        <v/>
      </c>
      <c r="G474" t="str">
        <f t="shared" si="15"/>
        <v/>
      </c>
    </row>
    <row r="475" spans="2:7" x14ac:dyDescent="0.25">
      <c r="B475" t="str">
        <f>IF(COUNTIF('Pull Data'!B$2:B$1000, A475) &gt; 0, A475, "")</f>
        <v/>
      </c>
      <c r="C475" t="str">
        <f t="shared" si="14"/>
        <v/>
      </c>
      <c r="F475" t="str">
        <f>IF(COUNTIF('Pull Data'!C$2:C$1000, E475) &gt; 0, E475, "")</f>
        <v/>
      </c>
      <c r="G475" t="str">
        <f t="shared" si="15"/>
        <v/>
      </c>
    </row>
    <row r="476" spans="2:7" x14ac:dyDescent="0.25">
      <c r="B476" t="str">
        <f>IF(COUNTIF('Pull Data'!B$2:B$1000, A476) &gt; 0, A476, "")</f>
        <v/>
      </c>
      <c r="C476" t="str">
        <f t="shared" si="14"/>
        <v/>
      </c>
      <c r="F476" t="str">
        <f>IF(COUNTIF('Pull Data'!C$2:C$1000, E476) &gt; 0, E476, "")</f>
        <v/>
      </c>
      <c r="G476" t="str">
        <f t="shared" si="15"/>
        <v/>
      </c>
    </row>
    <row r="477" spans="2:7" x14ac:dyDescent="0.25">
      <c r="B477" t="str">
        <f>IF(COUNTIF('Pull Data'!B$2:B$1000, A477) &gt; 0, A477, "")</f>
        <v/>
      </c>
      <c r="C477" t="str">
        <f t="shared" si="14"/>
        <v/>
      </c>
      <c r="F477" t="str">
        <f>IF(COUNTIF('Pull Data'!C$2:C$1000, E477) &gt; 0, E477, "")</f>
        <v/>
      </c>
      <c r="G477" t="str">
        <f t="shared" si="15"/>
        <v/>
      </c>
    </row>
    <row r="478" spans="2:7" x14ac:dyDescent="0.25">
      <c r="B478" t="str">
        <f>IF(COUNTIF('Pull Data'!B$2:B$1000, A478) &gt; 0, A478, "")</f>
        <v/>
      </c>
      <c r="C478" t="str">
        <f t="shared" si="14"/>
        <v/>
      </c>
      <c r="F478" t="str">
        <f>IF(COUNTIF('Pull Data'!C$2:C$1000, E478) &gt; 0, E478, "")</f>
        <v/>
      </c>
      <c r="G478" t="str">
        <f t="shared" si="15"/>
        <v/>
      </c>
    </row>
    <row r="479" spans="2:7" x14ac:dyDescent="0.25">
      <c r="B479" t="str">
        <f>IF(COUNTIF('Pull Data'!B$2:B$1000, A479) &gt; 0, A479, "")</f>
        <v/>
      </c>
      <c r="C479" t="str">
        <f t="shared" si="14"/>
        <v/>
      </c>
      <c r="F479" t="str">
        <f>IF(COUNTIF('Pull Data'!C$2:C$1000, E479) &gt; 0, E479, "")</f>
        <v/>
      </c>
      <c r="G479" t="str">
        <f t="shared" si="15"/>
        <v/>
      </c>
    </row>
    <row r="480" spans="2:7" x14ac:dyDescent="0.25">
      <c r="B480" t="str">
        <f>IF(COUNTIF('Pull Data'!B$2:B$1000, A480) &gt; 0, A480, "")</f>
        <v/>
      </c>
      <c r="C480" t="str">
        <f t="shared" si="14"/>
        <v/>
      </c>
      <c r="F480" t="str">
        <f>IF(COUNTIF('Pull Data'!C$2:C$1000, E480) &gt; 0, E480, "")</f>
        <v/>
      </c>
      <c r="G480" t="str">
        <f t="shared" si="15"/>
        <v/>
      </c>
    </row>
    <row r="481" spans="2:7" x14ac:dyDescent="0.25">
      <c r="B481" t="str">
        <f>IF(COUNTIF('Pull Data'!B$2:B$1000, A481) &gt; 0, A481, "")</f>
        <v/>
      </c>
      <c r="C481" t="str">
        <f t="shared" si="14"/>
        <v/>
      </c>
      <c r="F481" t="str">
        <f>IF(COUNTIF('Pull Data'!C$2:C$1000, E481) &gt; 0, E481, "")</f>
        <v/>
      </c>
      <c r="G481" t="str">
        <f t="shared" si="15"/>
        <v/>
      </c>
    </row>
    <row r="482" spans="2:7" x14ac:dyDescent="0.25">
      <c r="B482" t="str">
        <f>IF(COUNTIF('Pull Data'!B$2:B$1000, A482) &gt; 0, A482, "")</f>
        <v/>
      </c>
      <c r="C482" t="str">
        <f t="shared" si="14"/>
        <v/>
      </c>
      <c r="F482" t="str">
        <f>IF(COUNTIF('Pull Data'!C$2:C$1000, E482) &gt; 0, E482, "")</f>
        <v/>
      </c>
      <c r="G482" t="str">
        <f t="shared" si="15"/>
        <v/>
      </c>
    </row>
    <row r="483" spans="2:7" x14ac:dyDescent="0.25">
      <c r="B483" t="str">
        <f>IF(COUNTIF('Pull Data'!B$2:B$1000, A483) &gt; 0, A483, "")</f>
        <v/>
      </c>
      <c r="C483" t="str">
        <f t="shared" si="14"/>
        <v/>
      </c>
      <c r="F483" t="str">
        <f>IF(COUNTIF('Pull Data'!C$2:C$1000, E483) &gt; 0, E483, "")</f>
        <v/>
      </c>
      <c r="G483" t="str">
        <f t="shared" si="15"/>
        <v/>
      </c>
    </row>
    <row r="484" spans="2:7" x14ac:dyDescent="0.25">
      <c r="B484" t="str">
        <f>IF(COUNTIF('Pull Data'!B$2:B$1000, A484) &gt; 0, A484, "")</f>
        <v/>
      </c>
      <c r="C484" t="str">
        <f t="shared" si="14"/>
        <v/>
      </c>
      <c r="F484" t="str">
        <f>IF(COUNTIF('Pull Data'!C$2:C$1000, E484) &gt; 0, E484, "")</f>
        <v/>
      </c>
      <c r="G484" t="str">
        <f t="shared" si="15"/>
        <v/>
      </c>
    </row>
    <row r="485" spans="2:7" x14ac:dyDescent="0.25">
      <c r="B485" t="str">
        <f>IF(COUNTIF('Pull Data'!B$2:B$1000, A485) &gt; 0, A485, "")</f>
        <v/>
      </c>
      <c r="C485" t="str">
        <f t="shared" si="14"/>
        <v/>
      </c>
      <c r="F485" t="str">
        <f>IF(COUNTIF('Pull Data'!C$2:C$1000, E485) &gt; 0, E485, "")</f>
        <v/>
      </c>
      <c r="G485" t="str">
        <f t="shared" si="15"/>
        <v/>
      </c>
    </row>
    <row r="486" spans="2:7" x14ac:dyDescent="0.25">
      <c r="B486" t="str">
        <f>IF(COUNTIF('Pull Data'!B$2:B$1000, A486) &gt; 0, A486, "")</f>
        <v/>
      </c>
      <c r="C486" t="str">
        <f t="shared" si="14"/>
        <v/>
      </c>
      <c r="F486" t="str">
        <f>IF(COUNTIF('Pull Data'!C$2:C$1000, E486) &gt; 0, E486, "")</f>
        <v/>
      </c>
      <c r="G486" t="str">
        <f t="shared" si="15"/>
        <v/>
      </c>
    </row>
    <row r="487" spans="2:7" x14ac:dyDescent="0.25">
      <c r="B487" t="str">
        <f>IF(COUNTIF('Pull Data'!B$2:B$1000, A487) &gt; 0, A487, "")</f>
        <v/>
      </c>
      <c r="C487" t="str">
        <f t="shared" si="14"/>
        <v/>
      </c>
      <c r="F487" t="str">
        <f>IF(COUNTIF('Pull Data'!C$2:C$1000, E487) &gt; 0, E487, "")</f>
        <v/>
      </c>
      <c r="G487" t="str">
        <f t="shared" si="15"/>
        <v/>
      </c>
    </row>
    <row r="488" spans="2:7" x14ac:dyDescent="0.25">
      <c r="B488" t="str">
        <f>IF(COUNTIF('Pull Data'!B$2:B$1000, A488) &gt; 0, A488, "")</f>
        <v/>
      </c>
      <c r="C488" t="str">
        <f t="shared" si="14"/>
        <v/>
      </c>
      <c r="F488" t="str">
        <f>IF(COUNTIF('Pull Data'!C$2:C$1000, E488) &gt; 0, E488, "")</f>
        <v/>
      </c>
      <c r="G488" t="str">
        <f t="shared" si="15"/>
        <v/>
      </c>
    </row>
    <row r="489" spans="2:7" x14ac:dyDescent="0.25">
      <c r="B489" t="str">
        <f>IF(COUNTIF('Pull Data'!B$2:B$1000, A489) &gt; 0, A489, "")</f>
        <v/>
      </c>
      <c r="C489" t="str">
        <f t="shared" si="14"/>
        <v/>
      </c>
      <c r="F489" t="str">
        <f>IF(COUNTIF('Pull Data'!C$2:C$1000, E489) &gt; 0, E489, "")</f>
        <v/>
      </c>
      <c r="G489" t="str">
        <f t="shared" si="15"/>
        <v/>
      </c>
    </row>
    <row r="490" spans="2:7" x14ac:dyDescent="0.25">
      <c r="B490" t="str">
        <f>IF(COUNTIF('Pull Data'!B$2:B$1000, A490) &gt; 0, A490, "")</f>
        <v/>
      </c>
      <c r="C490" t="str">
        <f t="shared" si="14"/>
        <v/>
      </c>
      <c r="F490" t="str">
        <f>IF(COUNTIF('Pull Data'!C$2:C$1000, E490) &gt; 0, E490, "")</f>
        <v/>
      </c>
      <c r="G490" t="str">
        <f t="shared" si="15"/>
        <v/>
      </c>
    </row>
    <row r="491" spans="2:7" x14ac:dyDescent="0.25">
      <c r="B491" t="str">
        <f>IF(COUNTIF('Pull Data'!B$2:B$1000, A491) &gt; 0, A491, "")</f>
        <v/>
      </c>
      <c r="C491" t="str">
        <f t="shared" si="14"/>
        <v/>
      </c>
      <c r="F491" t="str">
        <f>IF(COUNTIF('Pull Data'!C$2:C$1000, E491) &gt; 0, E491, "")</f>
        <v/>
      </c>
      <c r="G491" t="str">
        <f t="shared" si="15"/>
        <v/>
      </c>
    </row>
    <row r="492" spans="2:7" x14ac:dyDescent="0.25">
      <c r="B492" t="str">
        <f>IF(COUNTIF('Pull Data'!B$2:B$1000, A492) &gt; 0, A492, "")</f>
        <v/>
      </c>
      <c r="C492" t="str">
        <f t="shared" si="14"/>
        <v/>
      </c>
      <c r="F492" t="str">
        <f>IF(COUNTIF('Pull Data'!C$2:C$1000, E492) &gt; 0, E492, "")</f>
        <v/>
      </c>
      <c r="G492" t="str">
        <f t="shared" si="15"/>
        <v/>
      </c>
    </row>
    <row r="493" spans="2:7" x14ac:dyDescent="0.25">
      <c r="B493" t="str">
        <f>IF(COUNTIF('Pull Data'!B$2:B$1000, A493) &gt; 0, A493, "")</f>
        <v/>
      </c>
      <c r="C493" t="str">
        <f t="shared" si="14"/>
        <v/>
      </c>
      <c r="F493" t="str">
        <f>IF(COUNTIF('Pull Data'!C$2:C$1000, E493) &gt; 0, E493, "")</f>
        <v/>
      </c>
      <c r="G493" t="str">
        <f t="shared" si="15"/>
        <v/>
      </c>
    </row>
    <row r="494" spans="2:7" x14ac:dyDescent="0.25">
      <c r="B494" t="str">
        <f>IF(COUNTIF('Pull Data'!B$2:B$1000, A494) &gt; 0, A494, "")</f>
        <v/>
      </c>
      <c r="C494" t="str">
        <f t="shared" si="14"/>
        <v/>
      </c>
      <c r="F494" t="str">
        <f>IF(COUNTIF('Pull Data'!C$2:C$1000, E494) &gt; 0, E494, "")</f>
        <v/>
      </c>
      <c r="G494" t="str">
        <f t="shared" si="15"/>
        <v/>
      </c>
    </row>
    <row r="495" spans="2:7" x14ac:dyDescent="0.25">
      <c r="B495" t="str">
        <f>IF(COUNTIF('Pull Data'!B$2:B$1000, A495) &gt; 0, A495, "")</f>
        <v/>
      </c>
      <c r="C495" t="str">
        <f t="shared" si="14"/>
        <v/>
      </c>
      <c r="F495" t="str">
        <f>IF(COUNTIF('Pull Data'!C$2:C$1000, E495) &gt; 0, E495, "")</f>
        <v/>
      </c>
      <c r="G495" t="str">
        <f t="shared" si="15"/>
        <v/>
      </c>
    </row>
    <row r="496" spans="2:7" x14ac:dyDescent="0.25">
      <c r="B496" t="str">
        <f>IF(COUNTIF('Pull Data'!B$2:B$1000, A496) &gt; 0, A496, "")</f>
        <v/>
      </c>
      <c r="C496" t="str">
        <f t="shared" si="14"/>
        <v/>
      </c>
      <c r="F496" t="str">
        <f>IF(COUNTIF('Pull Data'!C$2:C$1000, E496) &gt; 0, E496, "")</f>
        <v/>
      </c>
      <c r="G496" t="str">
        <f t="shared" si="15"/>
        <v/>
      </c>
    </row>
    <row r="497" spans="2:7" x14ac:dyDescent="0.25">
      <c r="B497" t="str">
        <f>IF(COUNTIF('Pull Data'!B$2:B$1000, A497) &gt; 0, A497, "")</f>
        <v/>
      </c>
      <c r="C497" t="str">
        <f t="shared" si="14"/>
        <v/>
      </c>
      <c r="F497" t="str">
        <f>IF(COUNTIF('Pull Data'!C$2:C$1000, E497) &gt; 0, E497, "")</f>
        <v/>
      </c>
      <c r="G497" t="str">
        <f t="shared" si="15"/>
        <v/>
      </c>
    </row>
    <row r="498" spans="2:7" x14ac:dyDescent="0.25">
      <c r="B498" t="str">
        <f>IF(COUNTIF('Pull Data'!B$2:B$1000, A498) &gt; 0, A498, "")</f>
        <v/>
      </c>
      <c r="C498" t="str">
        <f t="shared" si="14"/>
        <v/>
      </c>
      <c r="F498" t="str">
        <f>IF(COUNTIF('Pull Data'!C$2:C$1000, E498) &gt; 0, E498, "")</f>
        <v/>
      </c>
      <c r="G498" t="str">
        <f t="shared" si="15"/>
        <v/>
      </c>
    </row>
    <row r="499" spans="2:7" x14ac:dyDescent="0.25">
      <c r="B499" t="str">
        <f>IF(COUNTIF('Pull Data'!B$2:B$1000, A499) &gt; 0, A499, "")</f>
        <v/>
      </c>
      <c r="C499" t="str">
        <f t="shared" si="14"/>
        <v/>
      </c>
      <c r="F499" t="str">
        <f>IF(COUNTIF('Pull Data'!C$2:C$1000, E499) &gt; 0, E499, "")</f>
        <v/>
      </c>
      <c r="G499" t="str">
        <f t="shared" si="15"/>
        <v/>
      </c>
    </row>
    <row r="500" spans="2:7" x14ac:dyDescent="0.25">
      <c r="B500" t="str">
        <f>IF(COUNTIF('Pull Data'!B$2:B$1000, A500) &gt; 0, A500, "")</f>
        <v/>
      </c>
      <c r="C500" t="str">
        <f t="shared" si="14"/>
        <v/>
      </c>
      <c r="F500" t="str">
        <f>IF(COUNTIF('Pull Data'!C$2:C$1000, E500) &gt; 0, E500, "")</f>
        <v/>
      </c>
      <c r="G500" t="str">
        <f t="shared" si="15"/>
        <v/>
      </c>
    </row>
  </sheetData>
  <conditionalFormatting sqref="C2:C1001">
    <cfRule type="containsText" dxfId="9" priority="5" operator="containsText" text="Does Not Appear">
      <formula>NOT(ISERROR(SEARCH("Does Not Appear",C2)))</formula>
    </cfRule>
    <cfRule type="containsText" dxfId="8" priority="6" operator="containsText" text="Appear">
      <formula>NOT(ISERROR(SEARCH("Appear",C2)))</formula>
    </cfRule>
  </conditionalFormatting>
  <conditionalFormatting sqref="G2:G596">
    <cfRule type="containsText" dxfId="7" priority="1" operator="containsText" text="Does Not Appear">
      <formula>NOT(ISERROR(SEARCH("Does Not Appear",G2)))</formula>
    </cfRule>
    <cfRule type="containsText" dxfId="6" priority="2" operator="containsText" text="Appear">
      <formula>NOT(ISERROR(SEARCH("Appear",G2)))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7A83-6B21-43D9-B9BA-885E8E84D379}">
  <sheetPr codeName="Sheet4">
    <tabColor theme="2"/>
  </sheetPr>
  <dimension ref="A1:C3"/>
  <sheetViews>
    <sheetView workbookViewId="0">
      <selection activeCell="B1" sqref="B1"/>
    </sheetView>
  </sheetViews>
  <sheetFormatPr defaultRowHeight="15" x14ac:dyDescent="0.25"/>
  <cols>
    <col min="1" max="1" width="33" style="38" bestFit="1" customWidth="1"/>
    <col min="2" max="2" width="32.28515625" style="38" bestFit="1" customWidth="1"/>
    <col min="3" max="3" width="44.140625" style="45" bestFit="1" customWidth="1"/>
    <col min="5" max="5" width="25.85546875" bestFit="1" customWidth="1"/>
  </cols>
  <sheetData>
    <row r="1" spans="1:3" ht="48" customHeight="1" thickBot="1" x14ac:dyDescent="0.3">
      <c r="A1" s="46" t="s">
        <v>26</v>
      </c>
      <c r="B1" s="47" cm="1">
        <f t="array" ref="B1">IF(COUNTA(_xlfn._xlws.FILTER(INDEX(_xlfn.ANCHORARRAY(A3), 0, 1), (INDEX(_xlfn.ANCHORARRAY(A3), 0, 1)&lt;&gt;0)*(INDEX(_xlfn.ANCHORARRAY(A3), 0, 1)&lt;&gt;""))) = 1, IF(INDEX(_xlfn.ANCHORARRAY(A3), 0, 1)="", 0, 1), COUNTA(_xlfn._xlws.FILTER(INDEX(_xlfn.ANCHORARRAY(A3), 0, 1), (INDEX(_xlfn.ANCHORARRAY(A3), 0, 1)&lt;&gt;0)*(INDEX(_xlfn.ANCHORARRAY(A3), 0, 1)&lt;&gt;""))))</f>
        <v>0</v>
      </c>
      <c r="C1" s="38"/>
    </row>
    <row r="2" spans="1:3" ht="15.75" thickBot="1" x14ac:dyDescent="0.3">
      <c r="A2" s="39" t="s">
        <v>19</v>
      </c>
      <c r="B2" s="40" t="s">
        <v>6</v>
      </c>
      <c r="C2" s="41" t="s">
        <v>7</v>
      </c>
    </row>
    <row r="3" spans="1:3" x14ac:dyDescent="0.25">
      <c r="A3" s="42" t="str" cm="1">
        <f t="array" ref="A3">IFERROR(_xlfn.UNIQUE(_xlfn._xlws.FILTER('Pull Data'!A2:C1000, ('Pull Data'!A2:A1000&lt;&gt;"0")*('Pull Data'!A2:A1000&lt;&gt;"Empty Row")*('Pull Data'!A2:A1000&lt;&gt;""))), "")</f>
        <v/>
      </c>
      <c r="B3" s="43"/>
      <c r="C3" s="4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0" tint="-0.14999847407452621"/>
  </sheetPr>
  <dimension ref="A1:J500"/>
  <sheetViews>
    <sheetView topLeftCell="A178" workbookViewId="0">
      <selection activeCell="A184" sqref="A184"/>
    </sheetView>
  </sheetViews>
  <sheetFormatPr defaultRowHeight="15" x14ac:dyDescent="0.25"/>
  <cols>
    <col min="1" max="1" width="25" bestFit="1" customWidth="1"/>
    <col min="2" max="2" width="30" bestFit="1" customWidth="1"/>
    <col min="3" max="3" width="44.140625" bestFit="1" customWidth="1"/>
    <col min="4" max="4" width="62.28515625" bestFit="1" customWidth="1"/>
    <col min="5" max="5" width="18.140625" style="28" bestFit="1" customWidth="1"/>
    <col min="6" max="6" width="21.28515625" style="29" bestFit="1" customWidth="1"/>
    <col min="7" max="7" width="16.5703125" style="28" bestFit="1" customWidth="1"/>
    <col min="8" max="8" width="19.7109375" style="29" bestFit="1" customWidth="1"/>
    <col min="9" max="9" width="39.42578125" style="2" bestFit="1" customWidth="1"/>
    <col min="10" max="10" width="24.28515625" style="2" bestFit="1" customWidth="1"/>
  </cols>
  <sheetData>
    <row r="1" spans="1:10" s="1" customFormat="1" x14ac:dyDescent="0.25">
      <c r="A1" s="4" t="s">
        <v>5</v>
      </c>
      <c r="B1" s="4" t="s">
        <v>6</v>
      </c>
      <c r="C1" s="4" t="s">
        <v>7</v>
      </c>
      <c r="D1" s="4" t="s">
        <v>0</v>
      </c>
      <c r="E1" s="25" t="s">
        <v>1</v>
      </c>
      <c r="F1" s="26" t="s">
        <v>2</v>
      </c>
      <c r="G1" s="25" t="s">
        <v>3</v>
      </c>
      <c r="H1" s="26" t="s">
        <v>4</v>
      </c>
      <c r="I1" s="27" t="s">
        <v>17</v>
      </c>
      <c r="J1" s="27" t="s">
        <v>18</v>
      </c>
    </row>
    <row r="2" spans="1:10" x14ac:dyDescent="0.25">
      <c r="A2" t="str">
        <f>IF(D2="Empty Row", "Empty Row",
   _xlfn.LET(
       _xlpm.lookupResult, _xlfn.XLOOKUP(D2, RawDataTable[Account Name and Number], RawDataTable[Entity], "RAW DATA MISSING"),
       IF(ISBLANK(_xlpm.lookupResult), "RAW DATA MISSING", _xlpm.lookupResult)
   )
)</f>
        <v>Empty Row</v>
      </c>
      <c r="B2" t="str">
        <f>IF(D2="Empty Row", "Empty Row",
   _xlfn.LET(
       _xlpm.rawDataLookup, _xlfn.XLOOKUP(D2,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" t="str" cm="1">
        <f t="array" ref="C2">IF(D2="Empty Row", "Empty Row",
   IF(COUNTIF('Name Mapping'!H:AD, D2) &gt; 0,
      INDEX('Name Mapping'!F:F, MATCH(TRUE, MMULT(--('Name Mapping'!H:AD=D2), TRANSPOSE(COLUMN('Name Mapping'!H:AD)^0)) &gt; 0, 0)),
      "")
)</f>
        <v>Empty Row</v>
      </c>
      <c r="D2" t="str">
        <f>IF(RawDataTable[[#This Row],[Account Name and Number]]&lt;&gt;"", RawDataTable[[#This Row],[Account Name and Number]], "Empty Row")</f>
        <v>Empty Row</v>
      </c>
      <c r="E2" s="28" t="str">
        <f>IF(D2="Empty Row", "Empty Row",
   _xlfn.LET(
       _xlpm.lookupResult, _xlfn.XLOOKUP(D2, RawDataTable[Account Name and Number], RawDataTable[Investment Date], "MISSING VALUE"),
       IF(ISNUMBER(_xlpm.lookupResult), _xlpm.lookupResult, "INVALID VALUE")
   )
)</f>
        <v>Empty Row</v>
      </c>
      <c r="F2" s="29" t="str">
        <f>IF(D2="Empty Row", "Empty Row",
   _xlfn.LET(
       _xlpm.lookupResult, _xlfn.XLOOKUP(D2, RawDataTable[Account Name and Number], RawDataTable[Investment Amount], "MISSING VALUE"),
       IF(ISNUMBER(_xlpm.lookupResult), _xlpm.lookupResult, "INVALID VALUE")
   )
)</f>
        <v>Empty Row</v>
      </c>
      <c r="G2" s="28" t="str">
        <f ca="1">IF(D2="Empty Row", "Empty Row",
   IF(ISNUMBER(TODAY()), TODAY(), "INVALID VALUE")
)</f>
        <v>Empty Row</v>
      </c>
      <c r="H2" s="29" t="str">
        <f>IF(D2="Empty Row", "Empty Row",
   _xlfn.LET(
       _xlpm.lookupResult, _xlfn.XLOOKUP(D2, RawDataTable[Account Name and Number], RawDataTable[Valuation Amount], "MISSING VALUE"),
       IF(ISNUMBER(_xlpm.lookupResult), _xlpm.lookupResult, "INVALID VALUE")
   )
)</f>
        <v>Empty Row</v>
      </c>
      <c r="I2" s="2" t="str">
        <f>IF(D2="Empty Row", "Empty Row", IF(_xlfn.XLOOKUP(B2, MasterTable[IRA Custodian], MasterTable[Address], "")="", "NO STREET NAME FOUND", _xlfn.XLOOKUP(B2, MasterTable[IRA Custodian], MasterTable[Address], "")))</f>
        <v>Empty Row</v>
      </c>
      <c r="J2" s="2" t="str">
        <f>IF(D2="Empty Row", "Empty Row",
   IF(OR(
       _xlfn.XLOOKUP(B2, MasterTable[IRA Custodian], MasterTable[City], "")="",
       _xlfn.XLOOKUP(B2, MasterTable[IRA Custodian], MasterTable[State], "")="",
       _xlfn.XLOOKUP(B2, MasterTable[IRA Custodian], MasterTable[Zip], "")=""),
       "INCOMPLETE ADDRESS",
       _xlfn.CONCAT(
           _xlfn.XLOOKUP(B2, MasterTable[IRA Custodian], MasterTable[City], ""), ", ",
           _xlfn.XLOOKUP(B2, MasterTable[IRA Custodian], MasterTable[State], ""), " ",
           _xlfn.XLOOKUP(B2, MasterTable[IRA Custodian], MasterTable[Zip], "")
       )
   )
)</f>
        <v>Empty Row</v>
      </c>
    </row>
    <row r="3" spans="1:10" x14ac:dyDescent="0.25">
      <c r="A3" t="str">
        <f>IF(D3="Empty Row", "Empty Row",
   _xlfn.LET(
       _xlpm.lookupResult, _xlfn.XLOOKUP(D3, RawDataTable[Account Name and Number], RawDataTable[Entity], "RAW DATA MISSING"),
       IF(ISBLANK(_xlpm.lookupResult), "RAW DATA MISSING", _xlpm.lookupResult)
   )
)</f>
        <v>Empty Row</v>
      </c>
      <c r="B3" t="str">
        <f>IF(D3="Empty Row", "Empty Row",
   _xlfn.LET(
       _xlpm.rawDataLookup, _xlfn.XLOOKUP(D3,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" s="56" t="str" cm="1">
        <f t="array" ref="C3">IF(D3="Empty Row", "Empty Row",
   IF(COUNTIF('Name Mapping'!H:AD, D3) &gt; 0,
      INDEX('Name Mapping'!F:F, MATCH(TRUE, MMULT(--('Name Mapping'!H:AD=D3), TRANSPOSE(COLUMN('Name Mapping'!H:AD)^0)) &gt; 0, 0)),
      "")
)</f>
        <v>Empty Row</v>
      </c>
      <c r="D3" t="str">
        <f>IF(RawDataTable[[#This Row],[Account Name and Number]]&lt;&gt;"", RawDataTable[[#This Row],[Account Name and Number]], "Empty Row")</f>
        <v>Empty Row</v>
      </c>
      <c r="E3" s="28" t="str">
        <f>IF(D3="Empty Row", "Empty Row",
   _xlfn.LET(
       _xlpm.lookupResult, _xlfn.XLOOKUP(D3, RawDataTable[Account Name and Number], RawDataTable[Investment Date], "MISSING VALUE"),
       IF(ISNUMBER(_xlpm.lookupResult), _xlpm.lookupResult, "INVALID VALUE")
   )
)</f>
        <v>Empty Row</v>
      </c>
      <c r="F3" s="29" t="str">
        <f>IF(D3="Empty Row", "Empty Row",
   _xlfn.LET(
       _xlpm.lookupResult, _xlfn.XLOOKUP(D3, RawDataTable[Account Name and Number], RawDataTable[Investment Amount], "MISSING VALUE"),
       IF(ISNUMBER(_xlpm.lookupResult), _xlpm.lookupResult, "INVALID VALUE")
   )
)</f>
        <v>Empty Row</v>
      </c>
      <c r="G3" s="28" t="str">
        <f t="shared" ref="G3:G66" ca="1" si="0">IF(D3="Empty Row", "Empty Row",
   IF(ISNUMBER(TODAY()), TODAY(), "INVALID VALUE")
)</f>
        <v>Empty Row</v>
      </c>
      <c r="H3" s="29" t="str">
        <f>IF(D3="Empty Row", "Empty Row",
   _xlfn.LET(
       _xlpm.lookupResult, _xlfn.XLOOKUP(D3, RawDataTable[Account Name and Number], RawDataTable[Valuation Amount], "MISSING VALUE"),
       IF(ISNUMBER(_xlpm.lookupResult), _xlpm.lookupResult, "INVALID VALUE")
   )
)</f>
        <v>Empty Row</v>
      </c>
      <c r="I3" s="2" t="str">
        <f>IF(D3="Empty Row", "Empty Row", IF(_xlfn.XLOOKUP(B3, MasterTable[IRA Custodian], MasterTable[Address], "")="", "NO STREET NAME FOUND", _xlfn.XLOOKUP(B3, MasterTable[IRA Custodian], MasterTable[Address], "")))</f>
        <v>Empty Row</v>
      </c>
      <c r="J3" s="2" t="str">
        <f>IF(D3="Empty Row", "Empty Row",
   IF(OR(
       _xlfn.XLOOKUP(B3, MasterTable[IRA Custodian], MasterTable[City], "")="",
       _xlfn.XLOOKUP(B3, MasterTable[IRA Custodian], MasterTable[State], "")="",
       _xlfn.XLOOKUP(B3, MasterTable[IRA Custodian], MasterTable[Zip], "")=""),
       "INCOMPLETE ADDRESS",
       _xlfn.CONCAT(
           _xlfn.XLOOKUP(B3, MasterTable[IRA Custodian], MasterTable[City], ""), ", ",
           _xlfn.XLOOKUP(B3, MasterTable[IRA Custodian], MasterTable[State], ""), " ",
           _xlfn.XLOOKUP(B3, MasterTable[IRA Custodian], MasterTable[Zip], "")
       )
   )
)</f>
        <v>Empty Row</v>
      </c>
    </row>
    <row r="4" spans="1:10" x14ac:dyDescent="0.25">
      <c r="A4" t="str">
        <f>IF(D4="Empty Row", "Empty Row",
   _xlfn.LET(
       _xlpm.lookupResult, _xlfn.XLOOKUP(D4, RawDataTable[Account Name and Number], RawDataTable[Entity], "RAW DATA MISSING"),
       IF(ISBLANK(_xlpm.lookupResult), "RAW DATA MISSING", _xlpm.lookupResult)
   )
)</f>
        <v>Empty Row</v>
      </c>
      <c r="B4" t="str">
        <f>IF(D4="Empty Row", "Empty Row",
   _xlfn.LET(
       _xlpm.rawDataLookup, _xlfn.XLOOKUP(D4,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" s="56" t="str" cm="1">
        <f t="array" ref="C4">IF(D4="Empty Row", "Empty Row",
   IF(COUNTIF('Name Mapping'!H:AD, D4) &gt; 0,
      INDEX('Name Mapping'!F:F, MATCH(TRUE, MMULT(--('Name Mapping'!H:AD=D4), TRANSPOSE(COLUMN('Name Mapping'!H:AD)^0)) &gt; 0, 0)),
      "")
)</f>
        <v>Empty Row</v>
      </c>
      <c r="D4" t="str">
        <f>IF(RawDataTable[[#This Row],[Account Name and Number]]&lt;&gt;"", RawDataTable[[#This Row],[Account Name and Number]], "Empty Row")</f>
        <v>Empty Row</v>
      </c>
      <c r="E4" s="28" t="str">
        <f>IF(D4="Empty Row", "Empty Row",
   _xlfn.LET(
       _xlpm.lookupResult, _xlfn.XLOOKUP(D4, RawDataTable[Account Name and Number], RawDataTable[Investment Date], "MISSING VALUE"),
       IF(ISNUMBER(_xlpm.lookupResult), _xlpm.lookupResult, "INVALID VALUE")
   )
)</f>
        <v>Empty Row</v>
      </c>
      <c r="F4" s="29" t="str">
        <f>IF(D4="Empty Row", "Empty Row",
   _xlfn.LET(
       _xlpm.lookupResult, _xlfn.XLOOKUP(D4, RawDataTable[Account Name and Number], RawDataTable[Investment Amount], "MISSING VALUE"),
       IF(ISNUMBER(_xlpm.lookupResult), _xlpm.lookupResult, "INVALID VALUE")
   )
)</f>
        <v>Empty Row</v>
      </c>
      <c r="G4" s="28" t="str">
        <f t="shared" ca="1" si="0"/>
        <v>Empty Row</v>
      </c>
      <c r="H4" s="29" t="str">
        <f>IF(D4="Empty Row", "Empty Row",
   _xlfn.LET(
       _xlpm.lookupResult, _xlfn.XLOOKUP(D4, RawDataTable[Account Name and Number], RawDataTable[Valuation Amount], "MISSING VALUE"),
       IF(ISNUMBER(_xlpm.lookupResult), _xlpm.lookupResult, "INVALID VALUE")
   )
)</f>
        <v>Empty Row</v>
      </c>
      <c r="I4" s="2" t="str">
        <f>IF(D4="Empty Row", "Empty Row", IF(_xlfn.XLOOKUP(B4, MasterTable[IRA Custodian], MasterTable[Address], "")="", "NO STREET NAME FOUND", _xlfn.XLOOKUP(B4, MasterTable[IRA Custodian], MasterTable[Address], "")))</f>
        <v>Empty Row</v>
      </c>
      <c r="J4" s="2" t="str">
        <f>IF(D4="Empty Row", "Empty Row",
   IF(OR(
       _xlfn.XLOOKUP(B4, MasterTable[IRA Custodian], MasterTable[City], "")="",
       _xlfn.XLOOKUP(B4, MasterTable[IRA Custodian], MasterTable[State], "")="",
       _xlfn.XLOOKUP(B4, MasterTable[IRA Custodian], MasterTable[Zip], "")=""),
       "INCOMPLETE ADDRESS",
       _xlfn.CONCAT(
           _xlfn.XLOOKUP(B4, MasterTable[IRA Custodian], MasterTable[City], ""), ", ",
           _xlfn.XLOOKUP(B4, MasterTable[IRA Custodian], MasterTable[State], ""), " ",
           _xlfn.XLOOKUP(B4, MasterTable[IRA Custodian], MasterTable[Zip], "")
       )
   )
)</f>
        <v>Empty Row</v>
      </c>
    </row>
    <row r="5" spans="1:10" x14ac:dyDescent="0.25">
      <c r="A5" t="str">
        <f>IF(D5="Empty Row", "Empty Row",
   _xlfn.LET(
       _xlpm.lookupResult, _xlfn.XLOOKUP(D5, RawDataTable[Account Name and Number], RawDataTable[Entity], "RAW DATA MISSING"),
       IF(ISBLANK(_xlpm.lookupResult), "RAW DATA MISSING", _xlpm.lookupResult)
   )
)</f>
        <v>Empty Row</v>
      </c>
      <c r="B5" t="str">
        <f>IF(D5="Empty Row", "Empty Row",
   _xlfn.LET(
       _xlpm.rawDataLookup, _xlfn.XLOOKUP(D5,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5" s="56" t="str" cm="1">
        <f t="array" ref="C5">IF(D5="Empty Row", "Empty Row",
   IF(COUNTIF('Name Mapping'!H:AD, D5) &gt; 0,
      INDEX('Name Mapping'!F:F, MATCH(TRUE, MMULT(--('Name Mapping'!H:AD=D5), TRANSPOSE(COLUMN('Name Mapping'!H:AD)^0)) &gt; 0, 0)),
      "")
)</f>
        <v>Empty Row</v>
      </c>
      <c r="D5" t="str">
        <f>IF(RawDataTable[[#This Row],[Account Name and Number]]&lt;&gt;"", RawDataTable[[#This Row],[Account Name and Number]], "Empty Row")</f>
        <v>Empty Row</v>
      </c>
      <c r="E5" s="28" t="str">
        <f>IF(D5="Empty Row", "Empty Row",
   _xlfn.LET(
       _xlpm.lookupResult, _xlfn.XLOOKUP(D5, RawDataTable[Account Name and Number], RawDataTable[Investment Date], "MISSING VALUE"),
       IF(ISNUMBER(_xlpm.lookupResult), _xlpm.lookupResult, "INVALID VALUE")
   )
)</f>
        <v>Empty Row</v>
      </c>
      <c r="F5" s="29" t="str">
        <f>IF(D5="Empty Row", "Empty Row",
   _xlfn.LET(
       _xlpm.lookupResult, _xlfn.XLOOKUP(D5, RawDataTable[Account Name and Number], RawDataTable[Investment Amount], "MISSING VALUE"),
       IF(ISNUMBER(_xlpm.lookupResult), _xlpm.lookupResult, "INVALID VALUE")
   )
)</f>
        <v>Empty Row</v>
      </c>
      <c r="G5" s="28" t="str">
        <f t="shared" ca="1" si="0"/>
        <v>Empty Row</v>
      </c>
      <c r="H5" s="29" t="str">
        <f>IF(D5="Empty Row", "Empty Row",
   _xlfn.LET(
       _xlpm.lookupResult, _xlfn.XLOOKUP(D5, RawDataTable[Account Name and Number], RawDataTable[Valuation Amount], "MISSING VALUE"),
       IF(ISNUMBER(_xlpm.lookupResult), _xlpm.lookupResult, "INVALID VALUE")
   )
)</f>
        <v>Empty Row</v>
      </c>
      <c r="I5" s="2" t="str">
        <f>IF(D5="Empty Row", "Empty Row", IF(_xlfn.XLOOKUP(B5, MasterTable[IRA Custodian], MasterTable[Address], "")="", "NO STREET NAME FOUND", _xlfn.XLOOKUP(B5, MasterTable[IRA Custodian], MasterTable[Address], "")))</f>
        <v>Empty Row</v>
      </c>
      <c r="J5" s="2" t="str">
        <f>IF(D5="Empty Row", "Empty Row",
   IF(OR(
       _xlfn.XLOOKUP(B5, MasterTable[IRA Custodian], MasterTable[City], "")="",
       _xlfn.XLOOKUP(B5, MasterTable[IRA Custodian], MasterTable[State], "")="",
       _xlfn.XLOOKUP(B5, MasterTable[IRA Custodian], MasterTable[Zip], "")=""),
       "INCOMPLETE ADDRESS",
       _xlfn.CONCAT(
           _xlfn.XLOOKUP(B5, MasterTable[IRA Custodian], MasterTable[City], ""), ", ",
           _xlfn.XLOOKUP(B5, MasterTable[IRA Custodian], MasterTable[State], ""), " ",
           _xlfn.XLOOKUP(B5, MasterTable[IRA Custodian], MasterTable[Zip], "")
       )
   )
)</f>
        <v>Empty Row</v>
      </c>
    </row>
    <row r="6" spans="1:10" x14ac:dyDescent="0.25">
      <c r="A6" t="str">
        <f>IF(D6="Empty Row", "Empty Row",
   _xlfn.LET(
       _xlpm.lookupResult, _xlfn.XLOOKUP(D6, RawDataTable[Account Name and Number], RawDataTable[Entity], "RAW DATA MISSING"),
       IF(ISBLANK(_xlpm.lookupResult), "RAW DATA MISSING", _xlpm.lookupResult)
   )
)</f>
        <v>Empty Row</v>
      </c>
      <c r="B6" t="str">
        <f>IF(D6="Empty Row", "Empty Row",
   _xlfn.LET(
       _xlpm.rawDataLookup, _xlfn.XLOOKUP(D6,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6" s="56" t="str" cm="1">
        <f t="array" ref="C6">IF(D6="Empty Row", "Empty Row",
   IF(COUNTIF('Name Mapping'!H:AD, D6) &gt; 0,
      INDEX('Name Mapping'!F:F, MATCH(TRUE, MMULT(--('Name Mapping'!H:AD=D6), TRANSPOSE(COLUMN('Name Mapping'!H:AD)^0)) &gt; 0, 0)),
      "")
)</f>
        <v>Empty Row</v>
      </c>
      <c r="D6" t="str">
        <f>IF(RawDataTable[[#This Row],[Account Name and Number]]&lt;&gt;"", RawDataTable[[#This Row],[Account Name and Number]], "Empty Row")</f>
        <v>Empty Row</v>
      </c>
      <c r="E6" s="28" t="str">
        <f>IF(D6="Empty Row", "Empty Row",
   _xlfn.LET(
       _xlpm.lookupResult, _xlfn.XLOOKUP(D6, RawDataTable[Account Name and Number], RawDataTable[Investment Date], "MISSING VALUE"),
       IF(ISNUMBER(_xlpm.lookupResult), _xlpm.lookupResult, "INVALID VALUE")
   )
)</f>
        <v>Empty Row</v>
      </c>
      <c r="F6" s="29" t="str">
        <f>IF(D6="Empty Row", "Empty Row",
   _xlfn.LET(
       _xlpm.lookupResult, _xlfn.XLOOKUP(D6, RawDataTable[Account Name and Number], RawDataTable[Investment Amount], "MISSING VALUE"),
       IF(ISNUMBER(_xlpm.lookupResult), _xlpm.lookupResult, "INVALID VALUE")
   )
)</f>
        <v>Empty Row</v>
      </c>
      <c r="G6" s="28" t="str">
        <f t="shared" ca="1" si="0"/>
        <v>Empty Row</v>
      </c>
      <c r="H6" s="29" t="str">
        <f>IF(D6="Empty Row", "Empty Row",
   _xlfn.LET(
       _xlpm.lookupResult, _xlfn.XLOOKUP(D6, RawDataTable[Account Name and Number], RawDataTable[Valuation Amount], "MISSING VALUE"),
       IF(ISNUMBER(_xlpm.lookupResult), _xlpm.lookupResult, "INVALID VALUE")
   )
)</f>
        <v>Empty Row</v>
      </c>
      <c r="I6" s="2" t="str">
        <f>IF(D6="Empty Row", "Empty Row", IF(_xlfn.XLOOKUP(B6, MasterTable[IRA Custodian], MasterTable[Address], "")="", "NO STREET NAME FOUND", _xlfn.XLOOKUP(B6, MasterTable[IRA Custodian], MasterTable[Address], "")))</f>
        <v>Empty Row</v>
      </c>
      <c r="J6" s="2" t="str">
        <f>IF(D6="Empty Row", "Empty Row",
   IF(OR(
       _xlfn.XLOOKUP(B6, MasterTable[IRA Custodian], MasterTable[City], "")="",
       _xlfn.XLOOKUP(B6, MasterTable[IRA Custodian], MasterTable[State], "")="",
       _xlfn.XLOOKUP(B6, MasterTable[IRA Custodian], MasterTable[Zip], "")=""),
       "INCOMPLETE ADDRESS",
       _xlfn.CONCAT(
           _xlfn.XLOOKUP(B6, MasterTable[IRA Custodian], MasterTable[City], ""), ", ",
           _xlfn.XLOOKUP(B6, MasterTable[IRA Custodian], MasterTable[State], ""), " ",
           _xlfn.XLOOKUP(B6, MasterTable[IRA Custodian], MasterTable[Zip], "")
       )
   )
)</f>
        <v>Empty Row</v>
      </c>
    </row>
    <row r="7" spans="1:10" x14ac:dyDescent="0.25">
      <c r="A7" t="str">
        <f>IF(D7="Empty Row", "Empty Row",
   _xlfn.LET(
       _xlpm.lookupResult, _xlfn.XLOOKUP(D7, RawDataTable[Account Name and Number], RawDataTable[Entity], "RAW DATA MISSING"),
       IF(ISBLANK(_xlpm.lookupResult), "RAW DATA MISSING", _xlpm.lookupResult)
   )
)</f>
        <v>Empty Row</v>
      </c>
      <c r="B7" t="str">
        <f>IF(D7="Empty Row", "Empty Row",
   _xlfn.LET(
       _xlpm.rawDataLookup, _xlfn.XLOOKUP(D7,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7" s="56" t="str" cm="1">
        <f t="array" ref="C7">IF(D7="Empty Row", "Empty Row",
   IF(COUNTIF('Name Mapping'!H:AD, D7) &gt; 0,
      INDEX('Name Mapping'!F:F, MATCH(TRUE, MMULT(--('Name Mapping'!H:AD=D7), TRANSPOSE(COLUMN('Name Mapping'!H:AD)^0)) &gt; 0, 0)),
      "")
)</f>
        <v>Empty Row</v>
      </c>
      <c r="D7" t="str">
        <f>IF(RawDataTable[[#This Row],[Account Name and Number]]&lt;&gt;"", RawDataTable[[#This Row],[Account Name and Number]], "Empty Row")</f>
        <v>Empty Row</v>
      </c>
      <c r="E7" s="28" t="str">
        <f>IF(D7="Empty Row", "Empty Row",
   _xlfn.LET(
       _xlpm.lookupResult, _xlfn.XLOOKUP(D7, RawDataTable[Account Name and Number], RawDataTable[Investment Date], "MISSING VALUE"),
       IF(ISNUMBER(_xlpm.lookupResult), _xlpm.lookupResult, "INVALID VALUE")
   )
)</f>
        <v>Empty Row</v>
      </c>
      <c r="F7" s="29" t="str">
        <f>IF(D7="Empty Row", "Empty Row",
   _xlfn.LET(
       _xlpm.lookupResult, _xlfn.XLOOKUP(D7, RawDataTable[Account Name and Number], RawDataTable[Investment Amount], "MISSING VALUE"),
       IF(ISNUMBER(_xlpm.lookupResult), _xlpm.lookupResult, "INVALID VALUE")
   )
)</f>
        <v>Empty Row</v>
      </c>
      <c r="G7" s="28" t="str">
        <f t="shared" ca="1" si="0"/>
        <v>Empty Row</v>
      </c>
      <c r="H7" s="29" t="str">
        <f>IF(D7="Empty Row", "Empty Row",
   _xlfn.LET(
       _xlpm.lookupResult, _xlfn.XLOOKUP(D7, RawDataTable[Account Name and Number], RawDataTable[Valuation Amount], "MISSING VALUE"),
       IF(ISNUMBER(_xlpm.lookupResult), _xlpm.lookupResult, "INVALID VALUE")
   )
)</f>
        <v>Empty Row</v>
      </c>
      <c r="I7" s="2" t="str">
        <f>IF(D7="Empty Row", "Empty Row", IF(_xlfn.XLOOKUP(B7, MasterTable[IRA Custodian], MasterTable[Address], "")="", "NO STREET NAME FOUND", _xlfn.XLOOKUP(B7, MasterTable[IRA Custodian], MasterTable[Address], "")))</f>
        <v>Empty Row</v>
      </c>
      <c r="J7" s="2" t="str">
        <f>IF(D7="Empty Row", "Empty Row",
   IF(OR(
       _xlfn.XLOOKUP(B7, MasterTable[IRA Custodian], MasterTable[City], "")="",
       _xlfn.XLOOKUP(B7, MasterTable[IRA Custodian], MasterTable[State], "")="",
       _xlfn.XLOOKUP(B7, MasterTable[IRA Custodian], MasterTable[Zip], "")=""),
       "INCOMPLETE ADDRESS",
       _xlfn.CONCAT(
           _xlfn.XLOOKUP(B7, MasterTable[IRA Custodian], MasterTable[City], ""), ", ",
           _xlfn.XLOOKUP(B7, MasterTable[IRA Custodian], MasterTable[State], ""), " ",
           _xlfn.XLOOKUP(B7, MasterTable[IRA Custodian], MasterTable[Zip], "")
       )
   )
)</f>
        <v>Empty Row</v>
      </c>
    </row>
    <row r="8" spans="1:10" x14ac:dyDescent="0.25">
      <c r="A8" t="str">
        <f>IF(D8="Empty Row", "Empty Row",
   _xlfn.LET(
       _xlpm.lookupResult, _xlfn.XLOOKUP(D8, RawDataTable[Account Name and Number], RawDataTable[Entity], "RAW DATA MISSING"),
       IF(ISBLANK(_xlpm.lookupResult), "RAW DATA MISSING", _xlpm.lookupResult)
   )
)</f>
        <v>Empty Row</v>
      </c>
      <c r="B8" t="str">
        <f>IF(D8="Empty Row", "Empty Row",
   _xlfn.LET(
       _xlpm.rawDataLookup, _xlfn.XLOOKUP(D8,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8" s="56" t="str" cm="1">
        <f t="array" ref="C8">IF(D8="Empty Row", "Empty Row",
   IF(COUNTIF('Name Mapping'!H:AD, D8) &gt; 0,
      INDEX('Name Mapping'!F:F, MATCH(TRUE, MMULT(--('Name Mapping'!H:AD=D8), TRANSPOSE(COLUMN('Name Mapping'!H:AD)^0)) &gt; 0, 0)),
      "")
)</f>
        <v>Empty Row</v>
      </c>
      <c r="D8" t="str">
        <f>IF(RawDataTable[[#This Row],[Account Name and Number]]&lt;&gt;"", RawDataTable[[#This Row],[Account Name and Number]], "Empty Row")</f>
        <v>Empty Row</v>
      </c>
      <c r="E8" s="28" t="str">
        <f>IF(D8="Empty Row", "Empty Row",
   _xlfn.LET(
       _xlpm.lookupResult, _xlfn.XLOOKUP(D8, RawDataTable[Account Name and Number], RawDataTable[Investment Date], "MISSING VALUE"),
       IF(ISNUMBER(_xlpm.lookupResult), _xlpm.lookupResult, "INVALID VALUE")
   )
)</f>
        <v>Empty Row</v>
      </c>
      <c r="F8" s="29" t="str">
        <f>IF(D8="Empty Row", "Empty Row",
   _xlfn.LET(
       _xlpm.lookupResult, _xlfn.XLOOKUP(D8, RawDataTable[Account Name and Number], RawDataTable[Investment Amount], "MISSING VALUE"),
       IF(ISNUMBER(_xlpm.lookupResult), _xlpm.lookupResult, "INVALID VALUE")
   )
)</f>
        <v>Empty Row</v>
      </c>
      <c r="G8" s="28" t="str">
        <f t="shared" ca="1" si="0"/>
        <v>Empty Row</v>
      </c>
      <c r="H8" s="29" t="str">
        <f>IF(D8="Empty Row", "Empty Row",
   _xlfn.LET(
       _xlpm.lookupResult, _xlfn.XLOOKUP(D8, RawDataTable[Account Name and Number], RawDataTable[Valuation Amount], "MISSING VALUE"),
       IF(ISNUMBER(_xlpm.lookupResult), _xlpm.lookupResult, "INVALID VALUE")
   )
)</f>
        <v>Empty Row</v>
      </c>
      <c r="I8" s="2" t="str">
        <f>IF(D8="Empty Row", "Empty Row", IF(_xlfn.XLOOKUP(B8, MasterTable[IRA Custodian], MasterTable[Address], "")="", "NO STREET NAME FOUND", _xlfn.XLOOKUP(B8, MasterTable[IRA Custodian], MasterTable[Address], "")))</f>
        <v>Empty Row</v>
      </c>
      <c r="J8" s="2" t="str">
        <f>IF(D8="Empty Row", "Empty Row",
   IF(OR(
       _xlfn.XLOOKUP(B8, MasterTable[IRA Custodian], MasterTable[City], "")="",
       _xlfn.XLOOKUP(B8, MasterTable[IRA Custodian], MasterTable[State], "")="",
       _xlfn.XLOOKUP(B8, MasterTable[IRA Custodian], MasterTable[Zip], "")=""),
       "INCOMPLETE ADDRESS",
       _xlfn.CONCAT(
           _xlfn.XLOOKUP(B8, MasterTable[IRA Custodian], MasterTable[City], ""), ", ",
           _xlfn.XLOOKUP(B8, MasterTable[IRA Custodian], MasterTable[State], ""), " ",
           _xlfn.XLOOKUP(B8, MasterTable[IRA Custodian], MasterTable[Zip], "")
       )
   )
)</f>
        <v>Empty Row</v>
      </c>
    </row>
    <row r="9" spans="1:10" x14ac:dyDescent="0.25">
      <c r="A9" t="str">
        <f>IF(D9="Empty Row", "Empty Row",
   _xlfn.LET(
       _xlpm.lookupResult, _xlfn.XLOOKUP(D9, RawDataTable[Account Name and Number], RawDataTable[Entity], "RAW DATA MISSING"),
       IF(ISBLANK(_xlpm.lookupResult), "RAW DATA MISSING", _xlpm.lookupResult)
   )
)</f>
        <v>Empty Row</v>
      </c>
      <c r="B9" t="str">
        <f>IF(D9="Empty Row", "Empty Row",
   _xlfn.LET(
       _xlpm.rawDataLookup, _xlfn.XLOOKUP(D9,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9" s="56" t="str" cm="1">
        <f t="array" ref="C9">IF(D9="Empty Row", "Empty Row",
   IF(COUNTIF('Name Mapping'!H:AD, D9) &gt; 0,
      INDEX('Name Mapping'!F:F, MATCH(TRUE, MMULT(--('Name Mapping'!H:AD=D9), TRANSPOSE(COLUMN('Name Mapping'!H:AD)^0)) &gt; 0, 0)),
      "")
)</f>
        <v>Empty Row</v>
      </c>
      <c r="D9" t="str">
        <f>IF(RawDataTable[[#This Row],[Account Name and Number]]&lt;&gt;"", RawDataTable[[#This Row],[Account Name and Number]], "Empty Row")</f>
        <v>Empty Row</v>
      </c>
      <c r="E9" s="28" t="str">
        <f>IF(D9="Empty Row", "Empty Row",
   _xlfn.LET(
       _xlpm.lookupResult, _xlfn.XLOOKUP(D9, RawDataTable[Account Name and Number], RawDataTable[Investment Date], "MISSING VALUE"),
       IF(ISNUMBER(_xlpm.lookupResult), _xlpm.lookupResult, "INVALID VALUE")
   )
)</f>
        <v>Empty Row</v>
      </c>
      <c r="F9" s="29" t="str">
        <f>IF(D9="Empty Row", "Empty Row",
   _xlfn.LET(
       _xlpm.lookupResult, _xlfn.XLOOKUP(D9, RawDataTable[Account Name and Number], RawDataTable[Investment Amount], "MISSING VALUE"),
       IF(ISNUMBER(_xlpm.lookupResult), _xlpm.lookupResult, "INVALID VALUE")
   )
)</f>
        <v>Empty Row</v>
      </c>
      <c r="G9" s="28" t="str">
        <f t="shared" ca="1" si="0"/>
        <v>Empty Row</v>
      </c>
      <c r="H9" s="29" t="str">
        <f>IF(D9="Empty Row", "Empty Row",
   _xlfn.LET(
       _xlpm.lookupResult, _xlfn.XLOOKUP(D9, RawDataTable[Account Name and Number], RawDataTable[Valuation Amount], "MISSING VALUE"),
       IF(ISNUMBER(_xlpm.lookupResult), _xlpm.lookupResult, "INVALID VALUE")
   )
)</f>
        <v>Empty Row</v>
      </c>
      <c r="I9" s="2" t="str">
        <f>IF(D9="Empty Row", "Empty Row", IF(_xlfn.XLOOKUP(B9, MasterTable[IRA Custodian], MasterTable[Address], "")="", "NO STREET NAME FOUND", _xlfn.XLOOKUP(B9, MasterTable[IRA Custodian], MasterTable[Address], "")))</f>
        <v>Empty Row</v>
      </c>
      <c r="J9" s="2" t="str">
        <f>IF(D9="Empty Row", "Empty Row",
   IF(OR(
       _xlfn.XLOOKUP(B9, MasterTable[IRA Custodian], MasterTable[City], "")="",
       _xlfn.XLOOKUP(B9, MasterTable[IRA Custodian], MasterTable[State], "")="",
       _xlfn.XLOOKUP(B9, MasterTable[IRA Custodian], MasterTable[Zip], "")=""),
       "INCOMPLETE ADDRESS",
       _xlfn.CONCAT(
           _xlfn.XLOOKUP(B9, MasterTable[IRA Custodian], MasterTable[City], ""), ", ",
           _xlfn.XLOOKUP(B9, MasterTable[IRA Custodian], MasterTable[State], ""), " ",
           _xlfn.XLOOKUP(B9, MasterTable[IRA Custodian], MasterTable[Zip], "")
       )
   )
)</f>
        <v>Empty Row</v>
      </c>
    </row>
    <row r="10" spans="1:10" x14ac:dyDescent="0.25">
      <c r="A10" t="str">
        <f>IF(D10="Empty Row", "Empty Row",
   _xlfn.LET(
       _xlpm.lookupResult, _xlfn.XLOOKUP(D10, RawDataTable[Account Name and Number], RawDataTable[Entity], "RAW DATA MISSING"),
       IF(ISBLANK(_xlpm.lookupResult), "RAW DATA MISSING", _xlpm.lookupResult)
   )
)</f>
        <v>Empty Row</v>
      </c>
      <c r="B10" t="str">
        <f>IF(D10="Empty Row", "Empty Row",
   _xlfn.LET(
       _xlpm.rawDataLookup, _xlfn.XLOOKUP(D10,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0" s="56" t="str" cm="1">
        <f t="array" ref="C10">IF(D10="Empty Row", "Empty Row",
   IF(COUNTIF('Name Mapping'!H:AD, D10) &gt; 0,
      INDEX('Name Mapping'!F:F, MATCH(TRUE, MMULT(--('Name Mapping'!H:AD=D10), TRANSPOSE(COLUMN('Name Mapping'!H:AD)^0)) &gt; 0, 0)),
      "")
)</f>
        <v>Empty Row</v>
      </c>
      <c r="D10" t="str">
        <f>IF(RawDataTable[[#This Row],[Account Name and Number]]&lt;&gt;"", RawDataTable[[#This Row],[Account Name and Number]], "Empty Row")</f>
        <v>Empty Row</v>
      </c>
      <c r="E10" s="28" t="str">
        <f>IF(D10="Empty Row", "Empty Row",
   _xlfn.LET(
       _xlpm.lookupResult, _xlfn.XLOOKUP(D10, RawDataTable[Account Name and Number], RawDataTable[Investment Date], "MISSING VALUE"),
       IF(ISNUMBER(_xlpm.lookupResult), _xlpm.lookupResult, "INVALID VALUE")
   )
)</f>
        <v>Empty Row</v>
      </c>
      <c r="F10" s="29" t="str">
        <f>IF(D10="Empty Row", "Empty Row",
   _xlfn.LET(
       _xlpm.lookupResult, _xlfn.XLOOKUP(D10, RawDataTable[Account Name and Number], RawDataTable[Investment Amount], "MISSING VALUE"),
       IF(ISNUMBER(_xlpm.lookupResult), _xlpm.lookupResult, "INVALID VALUE")
   )
)</f>
        <v>Empty Row</v>
      </c>
      <c r="G10" s="28" t="str">
        <f t="shared" ca="1" si="0"/>
        <v>Empty Row</v>
      </c>
      <c r="H10" s="29" t="str">
        <f>IF(D10="Empty Row", "Empty Row",
   _xlfn.LET(
       _xlpm.lookupResult, _xlfn.XLOOKUP(D10, RawDataTable[Account Name and Number], RawDataTable[Valuation Amount], "MISSING VALUE"),
       IF(ISNUMBER(_xlpm.lookupResult), _xlpm.lookupResult, "INVALID VALUE")
   )
)</f>
        <v>Empty Row</v>
      </c>
      <c r="I10" s="2" t="str">
        <f>IF(D10="Empty Row", "Empty Row", IF(_xlfn.XLOOKUP(B10, MasterTable[IRA Custodian], MasterTable[Address], "")="", "NO STREET NAME FOUND", _xlfn.XLOOKUP(B10, MasterTable[IRA Custodian], MasterTable[Address], "")))</f>
        <v>Empty Row</v>
      </c>
      <c r="J10" s="2" t="str">
        <f>IF(D10="Empty Row", "Empty Row",
   IF(OR(
       _xlfn.XLOOKUP(B10, MasterTable[IRA Custodian], MasterTable[City], "")="",
       _xlfn.XLOOKUP(B10, MasterTable[IRA Custodian], MasterTable[State], "")="",
       _xlfn.XLOOKUP(B10, MasterTable[IRA Custodian], MasterTable[Zip], "")=""),
       "INCOMPLETE ADDRESS",
       _xlfn.CONCAT(
           _xlfn.XLOOKUP(B10, MasterTable[IRA Custodian], MasterTable[City], ""), ", ",
           _xlfn.XLOOKUP(B10, MasterTable[IRA Custodian], MasterTable[State], ""), " ",
           _xlfn.XLOOKUP(B10, MasterTable[IRA Custodian], MasterTable[Zip], "")
       )
   )
)</f>
        <v>Empty Row</v>
      </c>
    </row>
    <row r="11" spans="1:10" x14ac:dyDescent="0.25">
      <c r="A11" t="str">
        <f>IF(D11="Empty Row", "Empty Row",
   _xlfn.LET(
       _xlpm.lookupResult, _xlfn.XLOOKUP(D11, RawDataTable[Account Name and Number], RawDataTable[Entity], "RAW DATA MISSING"),
       IF(ISBLANK(_xlpm.lookupResult), "RAW DATA MISSING", _xlpm.lookupResult)
   )
)</f>
        <v>Empty Row</v>
      </c>
      <c r="B11" t="str">
        <f>IF(D11="Empty Row", "Empty Row",
   _xlfn.LET(
       _xlpm.rawDataLookup, _xlfn.XLOOKUP(D11,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1" s="56" t="str" cm="1">
        <f t="array" ref="C11">IF(D11="Empty Row", "Empty Row",
   IF(COUNTIF('Name Mapping'!H:AD, D11) &gt; 0,
      INDEX('Name Mapping'!F:F, MATCH(TRUE, MMULT(--('Name Mapping'!H:AD=D11), TRANSPOSE(COLUMN('Name Mapping'!H:AD)^0)) &gt; 0, 0)),
      "")
)</f>
        <v>Empty Row</v>
      </c>
      <c r="D11" t="str">
        <f>IF(RawDataTable[[#This Row],[Account Name and Number]]&lt;&gt;"", RawDataTable[[#This Row],[Account Name and Number]], "Empty Row")</f>
        <v>Empty Row</v>
      </c>
      <c r="E11" s="28" t="str">
        <f>IF(D11="Empty Row", "Empty Row",
   _xlfn.LET(
       _xlpm.lookupResult, _xlfn.XLOOKUP(D11, RawDataTable[Account Name and Number], RawDataTable[Investment Date], "MISSING VALUE"),
       IF(ISNUMBER(_xlpm.lookupResult), _xlpm.lookupResult, "INVALID VALUE")
   )
)</f>
        <v>Empty Row</v>
      </c>
      <c r="F11" s="29" t="str">
        <f>IF(D11="Empty Row", "Empty Row",
   _xlfn.LET(
       _xlpm.lookupResult, _xlfn.XLOOKUP(D11, RawDataTable[Account Name and Number], RawDataTable[Investment Amount], "MISSING VALUE"),
       IF(ISNUMBER(_xlpm.lookupResult), _xlpm.lookupResult, "INVALID VALUE")
   )
)</f>
        <v>Empty Row</v>
      </c>
      <c r="G11" s="28" t="str">
        <f t="shared" ca="1" si="0"/>
        <v>Empty Row</v>
      </c>
      <c r="H11" s="29" t="str">
        <f>IF(D11="Empty Row", "Empty Row",
   _xlfn.LET(
       _xlpm.lookupResult, _xlfn.XLOOKUP(D11, RawDataTable[Account Name and Number], RawDataTable[Valuation Amount], "MISSING VALUE"),
       IF(ISNUMBER(_xlpm.lookupResult), _xlpm.lookupResult, "INVALID VALUE")
   )
)</f>
        <v>Empty Row</v>
      </c>
      <c r="I11" s="2" t="str">
        <f>IF(D11="Empty Row", "Empty Row", IF(_xlfn.XLOOKUP(B11, MasterTable[IRA Custodian], MasterTable[Address], "")="", "NO STREET NAME FOUND", _xlfn.XLOOKUP(B11, MasterTable[IRA Custodian], MasterTable[Address], "")))</f>
        <v>Empty Row</v>
      </c>
      <c r="J11" s="2" t="str">
        <f>IF(D11="Empty Row", "Empty Row",
   IF(OR(
       _xlfn.XLOOKUP(B11, MasterTable[IRA Custodian], MasterTable[City], "")="",
       _xlfn.XLOOKUP(B11, MasterTable[IRA Custodian], MasterTable[State], "")="",
       _xlfn.XLOOKUP(B11, MasterTable[IRA Custodian], MasterTable[Zip], "")=""),
       "INCOMPLETE ADDRESS",
       _xlfn.CONCAT(
           _xlfn.XLOOKUP(B11, MasterTable[IRA Custodian], MasterTable[City], ""), ", ",
           _xlfn.XLOOKUP(B11, MasterTable[IRA Custodian], MasterTable[State], ""), " ",
           _xlfn.XLOOKUP(B11, MasterTable[IRA Custodian], MasterTable[Zip], "")
       )
   )
)</f>
        <v>Empty Row</v>
      </c>
    </row>
    <row r="12" spans="1:10" x14ac:dyDescent="0.25">
      <c r="A12" t="str">
        <f>IF(D12="Empty Row", "Empty Row",
   _xlfn.LET(
       _xlpm.lookupResult, _xlfn.XLOOKUP(D12, RawDataTable[Account Name and Number], RawDataTable[Entity], "RAW DATA MISSING"),
       IF(ISBLANK(_xlpm.lookupResult), "RAW DATA MISSING", _xlpm.lookupResult)
   )
)</f>
        <v>Empty Row</v>
      </c>
      <c r="B12" t="str">
        <f>IF(D12="Empty Row", "Empty Row",
   _xlfn.LET(
       _xlpm.rawDataLookup, _xlfn.XLOOKUP(D12,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2" s="56" t="str" cm="1">
        <f t="array" ref="C12">IF(D12="Empty Row", "Empty Row",
   IF(COUNTIF('Name Mapping'!H:AD, D12) &gt; 0,
      INDEX('Name Mapping'!F:F, MATCH(TRUE, MMULT(--('Name Mapping'!H:AD=D12), TRANSPOSE(COLUMN('Name Mapping'!H:AD)^0)) &gt; 0, 0)),
      "")
)</f>
        <v>Empty Row</v>
      </c>
      <c r="D12" t="str">
        <f>IF(RawDataTable[[#This Row],[Account Name and Number]]&lt;&gt;"", RawDataTable[[#This Row],[Account Name and Number]], "Empty Row")</f>
        <v>Empty Row</v>
      </c>
      <c r="E12" s="28" t="str">
        <f>IF(D12="Empty Row", "Empty Row",
   _xlfn.LET(
       _xlpm.lookupResult, _xlfn.XLOOKUP(D12, RawDataTable[Account Name and Number], RawDataTable[Investment Date], "MISSING VALUE"),
       IF(ISNUMBER(_xlpm.lookupResult), _xlpm.lookupResult, "INVALID VALUE")
   )
)</f>
        <v>Empty Row</v>
      </c>
      <c r="F12" s="29" t="str">
        <f>IF(D12="Empty Row", "Empty Row",
   _xlfn.LET(
       _xlpm.lookupResult, _xlfn.XLOOKUP(D12, RawDataTable[Account Name and Number], RawDataTable[Investment Amount], "MISSING VALUE"),
       IF(ISNUMBER(_xlpm.lookupResult), _xlpm.lookupResult, "INVALID VALUE")
   )
)</f>
        <v>Empty Row</v>
      </c>
      <c r="G12" s="28" t="str">
        <f t="shared" ca="1" si="0"/>
        <v>Empty Row</v>
      </c>
      <c r="H12" s="29" t="str">
        <f>IF(D12="Empty Row", "Empty Row",
   _xlfn.LET(
       _xlpm.lookupResult, _xlfn.XLOOKUP(D12, RawDataTable[Account Name and Number], RawDataTable[Valuation Amount], "MISSING VALUE"),
       IF(ISNUMBER(_xlpm.lookupResult), _xlpm.lookupResult, "INVALID VALUE")
   )
)</f>
        <v>Empty Row</v>
      </c>
      <c r="I12" s="2" t="str">
        <f>IF(D12="Empty Row", "Empty Row", IF(_xlfn.XLOOKUP(B12, MasterTable[IRA Custodian], MasterTable[Address], "")="", "NO STREET NAME FOUND", _xlfn.XLOOKUP(B12, MasterTable[IRA Custodian], MasterTable[Address], "")))</f>
        <v>Empty Row</v>
      </c>
      <c r="J12" s="2" t="str">
        <f>IF(D12="Empty Row", "Empty Row",
   IF(OR(
       _xlfn.XLOOKUP(B12, MasterTable[IRA Custodian], MasterTable[City], "")="",
       _xlfn.XLOOKUP(B12, MasterTable[IRA Custodian], MasterTable[State], "")="",
       _xlfn.XLOOKUP(B12, MasterTable[IRA Custodian], MasterTable[Zip], "")=""),
       "INCOMPLETE ADDRESS",
       _xlfn.CONCAT(
           _xlfn.XLOOKUP(B12, MasterTable[IRA Custodian], MasterTable[City], ""), ", ",
           _xlfn.XLOOKUP(B12, MasterTable[IRA Custodian], MasterTable[State], ""), " ",
           _xlfn.XLOOKUP(B12, MasterTable[IRA Custodian], MasterTable[Zip], "")
       )
   )
)</f>
        <v>Empty Row</v>
      </c>
    </row>
    <row r="13" spans="1:10" x14ac:dyDescent="0.25">
      <c r="A13" t="str">
        <f>IF(D13="Empty Row", "Empty Row",
   _xlfn.LET(
       _xlpm.lookupResult, _xlfn.XLOOKUP(D13, RawDataTable[Account Name and Number], RawDataTable[Entity], "RAW DATA MISSING"),
       IF(ISBLANK(_xlpm.lookupResult), "RAW DATA MISSING", _xlpm.lookupResult)
   )
)</f>
        <v>Empty Row</v>
      </c>
      <c r="B13" t="str">
        <f>IF(D13="Empty Row", "Empty Row",
   _xlfn.LET(
       _xlpm.rawDataLookup, _xlfn.XLOOKUP(D13,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3" s="56" t="str" cm="1">
        <f t="array" ref="C13">IF(D13="Empty Row", "Empty Row",
   IF(COUNTIF('Name Mapping'!H:AD, D13) &gt; 0,
      INDEX('Name Mapping'!F:F, MATCH(TRUE, MMULT(--('Name Mapping'!H:AD=D13), TRANSPOSE(COLUMN('Name Mapping'!H:AD)^0)) &gt; 0, 0)),
      "")
)</f>
        <v>Empty Row</v>
      </c>
      <c r="D13" t="str">
        <f>IF(RawDataTable[[#This Row],[Account Name and Number]]&lt;&gt;"", RawDataTable[[#This Row],[Account Name and Number]], "Empty Row")</f>
        <v>Empty Row</v>
      </c>
      <c r="E13" s="28" t="str">
        <f>IF(D13="Empty Row", "Empty Row",
   _xlfn.LET(
       _xlpm.lookupResult, _xlfn.XLOOKUP(D13, RawDataTable[Account Name and Number], RawDataTable[Investment Date], "MISSING VALUE"),
       IF(ISNUMBER(_xlpm.lookupResult), _xlpm.lookupResult, "INVALID VALUE")
   )
)</f>
        <v>Empty Row</v>
      </c>
      <c r="F13" s="29" t="str">
        <f>IF(D13="Empty Row", "Empty Row",
   _xlfn.LET(
       _xlpm.lookupResult, _xlfn.XLOOKUP(D13, RawDataTable[Account Name and Number], RawDataTable[Investment Amount], "MISSING VALUE"),
       IF(ISNUMBER(_xlpm.lookupResult), _xlpm.lookupResult, "INVALID VALUE")
   )
)</f>
        <v>Empty Row</v>
      </c>
      <c r="G13" s="28" t="str">
        <f t="shared" ca="1" si="0"/>
        <v>Empty Row</v>
      </c>
      <c r="H13" s="29" t="str">
        <f>IF(D13="Empty Row", "Empty Row",
   _xlfn.LET(
       _xlpm.lookupResult, _xlfn.XLOOKUP(D13, RawDataTable[Account Name and Number], RawDataTable[Valuation Amount], "MISSING VALUE"),
       IF(ISNUMBER(_xlpm.lookupResult), _xlpm.lookupResult, "INVALID VALUE")
   )
)</f>
        <v>Empty Row</v>
      </c>
      <c r="I13" s="2" t="str">
        <f>IF(D13="Empty Row", "Empty Row", IF(_xlfn.XLOOKUP(B13, MasterTable[IRA Custodian], MasterTable[Address], "")="", "NO STREET NAME FOUND", _xlfn.XLOOKUP(B13, MasterTable[IRA Custodian], MasterTable[Address], "")))</f>
        <v>Empty Row</v>
      </c>
      <c r="J13" s="2" t="str">
        <f>IF(D13="Empty Row", "Empty Row",
   IF(OR(
       _xlfn.XLOOKUP(B13, MasterTable[IRA Custodian], MasterTable[City], "")="",
       _xlfn.XLOOKUP(B13, MasterTable[IRA Custodian], MasterTable[State], "")="",
       _xlfn.XLOOKUP(B13, MasterTable[IRA Custodian], MasterTable[Zip], "")=""),
       "INCOMPLETE ADDRESS",
       _xlfn.CONCAT(
           _xlfn.XLOOKUP(B13, MasterTable[IRA Custodian], MasterTable[City], ""), ", ",
           _xlfn.XLOOKUP(B13, MasterTable[IRA Custodian], MasterTable[State], ""), " ",
           _xlfn.XLOOKUP(B13, MasterTable[IRA Custodian], MasterTable[Zip], "")
       )
   )
)</f>
        <v>Empty Row</v>
      </c>
    </row>
    <row r="14" spans="1:10" x14ac:dyDescent="0.25">
      <c r="A14" t="str">
        <f>IF(D14="Empty Row", "Empty Row",
   _xlfn.LET(
       _xlpm.lookupResult, _xlfn.XLOOKUP(D14, RawDataTable[Account Name and Number], RawDataTable[Entity], "RAW DATA MISSING"),
       IF(ISBLANK(_xlpm.lookupResult), "RAW DATA MISSING", _xlpm.lookupResult)
   )
)</f>
        <v>Empty Row</v>
      </c>
      <c r="B14" t="str">
        <f>IF(D14="Empty Row", "Empty Row",
   _xlfn.LET(
       _xlpm.rawDataLookup, _xlfn.XLOOKUP(D14,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4" s="56" t="str" cm="1">
        <f t="array" ref="C14">IF(D14="Empty Row", "Empty Row",
   IF(COUNTIF('Name Mapping'!H:AD, D14) &gt; 0,
      INDEX('Name Mapping'!F:F, MATCH(TRUE, MMULT(--('Name Mapping'!H:AD=D14), TRANSPOSE(COLUMN('Name Mapping'!H:AD)^0)) &gt; 0, 0)),
      "")
)</f>
        <v>Empty Row</v>
      </c>
      <c r="D14" t="str">
        <f>IF(RawDataTable[[#This Row],[Account Name and Number]]&lt;&gt;"", RawDataTable[[#This Row],[Account Name and Number]], "Empty Row")</f>
        <v>Empty Row</v>
      </c>
      <c r="E14" s="28" t="str">
        <f>IF(D14="Empty Row", "Empty Row",
   _xlfn.LET(
       _xlpm.lookupResult, _xlfn.XLOOKUP(D14, RawDataTable[Account Name and Number], RawDataTable[Investment Date], "MISSING VALUE"),
       IF(ISNUMBER(_xlpm.lookupResult), _xlpm.lookupResult, "INVALID VALUE")
   )
)</f>
        <v>Empty Row</v>
      </c>
      <c r="F14" s="29" t="str">
        <f>IF(D14="Empty Row", "Empty Row",
   _xlfn.LET(
       _xlpm.lookupResult, _xlfn.XLOOKUP(D14, RawDataTable[Account Name and Number], RawDataTable[Investment Amount], "MISSING VALUE"),
       IF(ISNUMBER(_xlpm.lookupResult), _xlpm.lookupResult, "INVALID VALUE")
   )
)</f>
        <v>Empty Row</v>
      </c>
      <c r="G14" s="28" t="str">
        <f t="shared" ca="1" si="0"/>
        <v>Empty Row</v>
      </c>
      <c r="H14" s="29" t="str">
        <f>IF(D14="Empty Row", "Empty Row",
   _xlfn.LET(
       _xlpm.lookupResult, _xlfn.XLOOKUP(D14, RawDataTable[Account Name and Number], RawDataTable[Valuation Amount], "MISSING VALUE"),
       IF(ISNUMBER(_xlpm.lookupResult), _xlpm.lookupResult, "INVALID VALUE")
   )
)</f>
        <v>Empty Row</v>
      </c>
      <c r="I14" s="2" t="str">
        <f>IF(D14="Empty Row", "Empty Row", IF(_xlfn.XLOOKUP(B14, MasterTable[IRA Custodian], MasterTable[Address], "")="", "NO STREET NAME FOUND", _xlfn.XLOOKUP(B14, MasterTable[IRA Custodian], MasterTable[Address], "")))</f>
        <v>Empty Row</v>
      </c>
      <c r="J14" s="2" t="str">
        <f>IF(D14="Empty Row", "Empty Row",
   IF(OR(
       _xlfn.XLOOKUP(B14, MasterTable[IRA Custodian], MasterTable[City], "")="",
       _xlfn.XLOOKUP(B14, MasterTable[IRA Custodian], MasterTable[State], "")="",
       _xlfn.XLOOKUP(B14, MasterTable[IRA Custodian], MasterTable[Zip], "")=""),
       "INCOMPLETE ADDRESS",
       _xlfn.CONCAT(
           _xlfn.XLOOKUP(B14, MasterTable[IRA Custodian], MasterTable[City], ""), ", ",
           _xlfn.XLOOKUP(B14, MasterTable[IRA Custodian], MasterTable[State], ""), " ",
           _xlfn.XLOOKUP(B14, MasterTable[IRA Custodian], MasterTable[Zip], "")
       )
   )
)</f>
        <v>Empty Row</v>
      </c>
    </row>
    <row r="15" spans="1:10" x14ac:dyDescent="0.25">
      <c r="A15" t="str">
        <f>IF(D15="Empty Row", "Empty Row",
   _xlfn.LET(
       _xlpm.lookupResult, _xlfn.XLOOKUP(D15, RawDataTable[Account Name and Number], RawDataTable[Entity], "RAW DATA MISSING"),
       IF(ISBLANK(_xlpm.lookupResult), "RAW DATA MISSING", _xlpm.lookupResult)
   )
)</f>
        <v>Empty Row</v>
      </c>
      <c r="B15" t="str">
        <f>IF(D15="Empty Row", "Empty Row",
   _xlfn.LET(
       _xlpm.rawDataLookup, _xlfn.XLOOKUP(D15,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5" s="56" t="str" cm="1">
        <f t="array" ref="C15">IF(D15="Empty Row", "Empty Row",
   IF(COUNTIF('Name Mapping'!H:AD, D15) &gt; 0,
      INDEX('Name Mapping'!F:F, MATCH(TRUE, MMULT(--('Name Mapping'!H:AD=D15), TRANSPOSE(COLUMN('Name Mapping'!H:AD)^0)) &gt; 0, 0)),
      "")
)</f>
        <v>Empty Row</v>
      </c>
      <c r="D15" t="str">
        <f>IF(RawDataTable[[#This Row],[Account Name and Number]]&lt;&gt;"", RawDataTable[[#This Row],[Account Name and Number]], "Empty Row")</f>
        <v>Empty Row</v>
      </c>
      <c r="E15" s="28" t="str">
        <f>IF(D15="Empty Row", "Empty Row",
   _xlfn.LET(
       _xlpm.lookupResult, _xlfn.XLOOKUP(D15, RawDataTable[Account Name and Number], RawDataTable[Investment Date], "MISSING VALUE"),
       IF(ISNUMBER(_xlpm.lookupResult), _xlpm.lookupResult, "INVALID VALUE")
   )
)</f>
        <v>Empty Row</v>
      </c>
      <c r="F15" s="29" t="str">
        <f>IF(D15="Empty Row", "Empty Row",
   _xlfn.LET(
       _xlpm.lookupResult, _xlfn.XLOOKUP(D15, RawDataTable[Account Name and Number], RawDataTable[Investment Amount], "MISSING VALUE"),
       IF(ISNUMBER(_xlpm.lookupResult), _xlpm.lookupResult, "INVALID VALUE")
   )
)</f>
        <v>Empty Row</v>
      </c>
      <c r="G15" s="28" t="str">
        <f t="shared" ca="1" si="0"/>
        <v>Empty Row</v>
      </c>
      <c r="H15" s="29" t="str">
        <f>IF(D15="Empty Row", "Empty Row",
   _xlfn.LET(
       _xlpm.lookupResult, _xlfn.XLOOKUP(D15, RawDataTable[Account Name and Number], RawDataTable[Valuation Amount], "MISSING VALUE"),
       IF(ISNUMBER(_xlpm.lookupResult), _xlpm.lookupResult, "INVALID VALUE")
   )
)</f>
        <v>Empty Row</v>
      </c>
      <c r="I15" s="2" t="str">
        <f>IF(D15="Empty Row", "Empty Row", IF(_xlfn.XLOOKUP(B15, MasterTable[IRA Custodian], MasterTable[Address], "")="", "NO STREET NAME FOUND", _xlfn.XLOOKUP(B15, MasterTable[IRA Custodian], MasterTable[Address], "")))</f>
        <v>Empty Row</v>
      </c>
      <c r="J15" s="2" t="str">
        <f>IF(D15="Empty Row", "Empty Row",
   IF(OR(
       _xlfn.XLOOKUP(B15, MasterTable[IRA Custodian], MasterTable[City], "")="",
       _xlfn.XLOOKUP(B15, MasterTable[IRA Custodian], MasterTable[State], "")="",
       _xlfn.XLOOKUP(B15, MasterTable[IRA Custodian], MasterTable[Zip], "")=""),
       "INCOMPLETE ADDRESS",
       _xlfn.CONCAT(
           _xlfn.XLOOKUP(B15, MasterTable[IRA Custodian], MasterTable[City], ""), ", ",
           _xlfn.XLOOKUP(B15, MasterTable[IRA Custodian], MasterTable[State], ""), " ",
           _xlfn.XLOOKUP(B15, MasterTable[IRA Custodian], MasterTable[Zip], "")
       )
   )
)</f>
        <v>Empty Row</v>
      </c>
    </row>
    <row r="16" spans="1:10" x14ac:dyDescent="0.25">
      <c r="A16" t="str">
        <f>IF(D16="Empty Row", "Empty Row",
   _xlfn.LET(
       _xlpm.lookupResult, _xlfn.XLOOKUP(D16, RawDataTable[Account Name and Number], RawDataTable[Entity], "RAW DATA MISSING"),
       IF(ISBLANK(_xlpm.lookupResult), "RAW DATA MISSING", _xlpm.lookupResult)
   )
)</f>
        <v>Empty Row</v>
      </c>
      <c r="B16" t="str">
        <f>IF(D16="Empty Row", "Empty Row",
   _xlfn.LET(
       _xlpm.rawDataLookup, _xlfn.XLOOKUP(D16,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6" s="56" t="str" cm="1">
        <f t="array" ref="C16">IF(D16="Empty Row", "Empty Row",
   IF(COUNTIF('Name Mapping'!H:AD, D16) &gt; 0,
      INDEX('Name Mapping'!F:F, MATCH(TRUE, MMULT(--('Name Mapping'!H:AD=D16), TRANSPOSE(COLUMN('Name Mapping'!H:AD)^0)) &gt; 0, 0)),
      "")
)</f>
        <v>Empty Row</v>
      </c>
      <c r="D16" t="str">
        <f>IF(RawDataTable[[#This Row],[Account Name and Number]]&lt;&gt;"", RawDataTable[[#This Row],[Account Name and Number]], "Empty Row")</f>
        <v>Empty Row</v>
      </c>
      <c r="E16" s="28" t="str">
        <f>IF(D16="Empty Row", "Empty Row",
   _xlfn.LET(
       _xlpm.lookupResult, _xlfn.XLOOKUP(D16, RawDataTable[Account Name and Number], RawDataTable[Investment Date], "MISSING VALUE"),
       IF(ISNUMBER(_xlpm.lookupResult), _xlpm.lookupResult, "INVALID VALUE")
   )
)</f>
        <v>Empty Row</v>
      </c>
      <c r="F16" s="29" t="str">
        <f>IF(D16="Empty Row", "Empty Row",
   _xlfn.LET(
       _xlpm.lookupResult, _xlfn.XLOOKUP(D16, RawDataTable[Account Name and Number], RawDataTable[Investment Amount], "MISSING VALUE"),
       IF(ISNUMBER(_xlpm.lookupResult), _xlpm.lookupResult, "INVALID VALUE")
   )
)</f>
        <v>Empty Row</v>
      </c>
      <c r="G16" s="28" t="str">
        <f t="shared" ca="1" si="0"/>
        <v>Empty Row</v>
      </c>
      <c r="H16" s="29" t="str">
        <f>IF(D16="Empty Row", "Empty Row",
   _xlfn.LET(
       _xlpm.lookupResult, _xlfn.XLOOKUP(D16, RawDataTable[Account Name and Number], RawDataTable[Valuation Amount], "MISSING VALUE"),
       IF(ISNUMBER(_xlpm.lookupResult), _xlpm.lookupResult, "INVALID VALUE")
   )
)</f>
        <v>Empty Row</v>
      </c>
      <c r="I16" s="2" t="str">
        <f>IF(D16="Empty Row", "Empty Row", IF(_xlfn.XLOOKUP(B16, MasterTable[IRA Custodian], MasterTable[Address], "")="", "NO STREET NAME FOUND", _xlfn.XLOOKUP(B16, MasterTable[IRA Custodian], MasterTable[Address], "")))</f>
        <v>Empty Row</v>
      </c>
      <c r="J16" s="2" t="str">
        <f>IF(D16="Empty Row", "Empty Row",
   IF(OR(
       _xlfn.XLOOKUP(B16, MasterTable[IRA Custodian], MasterTable[City], "")="",
       _xlfn.XLOOKUP(B16, MasterTable[IRA Custodian], MasterTable[State], "")="",
       _xlfn.XLOOKUP(B16, MasterTable[IRA Custodian], MasterTable[Zip], "")=""),
       "INCOMPLETE ADDRESS",
       _xlfn.CONCAT(
           _xlfn.XLOOKUP(B16, MasterTable[IRA Custodian], MasterTable[City], ""), ", ",
           _xlfn.XLOOKUP(B16, MasterTable[IRA Custodian], MasterTable[State], ""), " ",
           _xlfn.XLOOKUP(B16, MasterTable[IRA Custodian], MasterTable[Zip], "")
       )
   )
)</f>
        <v>Empty Row</v>
      </c>
    </row>
    <row r="17" spans="1:10" x14ac:dyDescent="0.25">
      <c r="A17" t="str">
        <f>IF(D17="Empty Row", "Empty Row",
   _xlfn.LET(
       _xlpm.lookupResult, _xlfn.XLOOKUP(D17, RawDataTable[Account Name and Number], RawDataTable[Entity], "RAW DATA MISSING"),
       IF(ISBLANK(_xlpm.lookupResult), "RAW DATA MISSING", _xlpm.lookupResult)
   )
)</f>
        <v>Empty Row</v>
      </c>
      <c r="B17" t="str">
        <f>IF(D17="Empty Row", "Empty Row",
   _xlfn.LET(
       _xlpm.rawDataLookup, _xlfn.XLOOKUP(D17,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7" s="56" t="str" cm="1">
        <f t="array" ref="C17">IF(D17="Empty Row", "Empty Row",
   IF(COUNTIF('Name Mapping'!H:AD, D17) &gt; 0,
      INDEX('Name Mapping'!F:F, MATCH(TRUE, MMULT(--('Name Mapping'!H:AD=D17), TRANSPOSE(COLUMN('Name Mapping'!H:AD)^0)) &gt; 0, 0)),
      "")
)</f>
        <v>Empty Row</v>
      </c>
      <c r="D17" t="str">
        <f>IF(RawDataTable[[#This Row],[Account Name and Number]]&lt;&gt;"", RawDataTable[[#This Row],[Account Name and Number]], "Empty Row")</f>
        <v>Empty Row</v>
      </c>
      <c r="E17" s="28" t="str">
        <f>IF(D17="Empty Row", "Empty Row",
   _xlfn.LET(
       _xlpm.lookupResult, _xlfn.XLOOKUP(D17, RawDataTable[Account Name and Number], RawDataTable[Investment Date], "MISSING VALUE"),
       IF(ISNUMBER(_xlpm.lookupResult), _xlpm.lookupResult, "INVALID VALUE")
   )
)</f>
        <v>Empty Row</v>
      </c>
      <c r="F17" s="29" t="str">
        <f>IF(D17="Empty Row", "Empty Row",
   _xlfn.LET(
       _xlpm.lookupResult, _xlfn.XLOOKUP(D17, RawDataTable[Account Name and Number], RawDataTable[Investment Amount], "MISSING VALUE"),
       IF(ISNUMBER(_xlpm.lookupResult), _xlpm.lookupResult, "INVALID VALUE")
   )
)</f>
        <v>Empty Row</v>
      </c>
      <c r="G17" s="28" t="str">
        <f t="shared" ca="1" si="0"/>
        <v>Empty Row</v>
      </c>
      <c r="H17" s="29" t="str">
        <f>IF(D17="Empty Row", "Empty Row",
   _xlfn.LET(
       _xlpm.lookupResult, _xlfn.XLOOKUP(D17, RawDataTable[Account Name and Number], RawDataTable[Valuation Amount], "MISSING VALUE"),
       IF(ISNUMBER(_xlpm.lookupResult), _xlpm.lookupResult, "INVALID VALUE")
   )
)</f>
        <v>Empty Row</v>
      </c>
      <c r="I17" s="2" t="str">
        <f>IF(D17="Empty Row", "Empty Row", IF(_xlfn.XLOOKUP(B17, MasterTable[IRA Custodian], MasterTable[Address], "")="", "NO STREET NAME FOUND", _xlfn.XLOOKUP(B17, MasterTable[IRA Custodian], MasterTable[Address], "")))</f>
        <v>Empty Row</v>
      </c>
      <c r="J17" s="2" t="str">
        <f>IF(D17="Empty Row", "Empty Row",
   IF(OR(
       _xlfn.XLOOKUP(B17, MasterTable[IRA Custodian], MasterTable[City], "")="",
       _xlfn.XLOOKUP(B17, MasterTable[IRA Custodian], MasterTable[State], "")="",
       _xlfn.XLOOKUP(B17, MasterTable[IRA Custodian], MasterTable[Zip], "")=""),
       "INCOMPLETE ADDRESS",
       _xlfn.CONCAT(
           _xlfn.XLOOKUP(B17, MasterTable[IRA Custodian], MasterTable[City], ""), ", ",
           _xlfn.XLOOKUP(B17, MasterTable[IRA Custodian], MasterTable[State], ""), " ",
           _xlfn.XLOOKUP(B17, MasterTable[IRA Custodian], MasterTable[Zip], "")
       )
   )
)</f>
        <v>Empty Row</v>
      </c>
    </row>
    <row r="18" spans="1:10" x14ac:dyDescent="0.25">
      <c r="A18" t="str">
        <f>IF(D18="Empty Row", "Empty Row",
   _xlfn.LET(
       _xlpm.lookupResult, _xlfn.XLOOKUP(D18, RawDataTable[Account Name and Number], RawDataTable[Entity], "RAW DATA MISSING"),
       IF(ISBLANK(_xlpm.lookupResult), "RAW DATA MISSING", _xlpm.lookupResult)
   )
)</f>
        <v>Empty Row</v>
      </c>
      <c r="B18" t="str">
        <f>IF(D18="Empty Row", "Empty Row",
   _xlfn.LET(
       _xlpm.rawDataLookup, _xlfn.XLOOKUP(D18,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8" s="56" t="str" cm="1">
        <f t="array" ref="C18">IF(D18="Empty Row", "Empty Row",
   IF(COUNTIF('Name Mapping'!H:AD, D18) &gt; 0,
      INDEX('Name Mapping'!F:F, MATCH(TRUE, MMULT(--('Name Mapping'!H:AD=D18), TRANSPOSE(COLUMN('Name Mapping'!H:AD)^0)) &gt; 0, 0)),
      "")
)</f>
        <v>Empty Row</v>
      </c>
      <c r="D18" t="str">
        <f>IF(RawDataTable[[#This Row],[Account Name and Number]]&lt;&gt;"", RawDataTable[[#This Row],[Account Name and Number]], "Empty Row")</f>
        <v>Empty Row</v>
      </c>
      <c r="E18" s="28" t="str">
        <f>IF(D18="Empty Row", "Empty Row",
   _xlfn.LET(
       _xlpm.lookupResult, _xlfn.XLOOKUP(D18, RawDataTable[Account Name and Number], RawDataTable[Investment Date], "MISSING VALUE"),
       IF(ISNUMBER(_xlpm.lookupResult), _xlpm.lookupResult, "INVALID VALUE")
   )
)</f>
        <v>Empty Row</v>
      </c>
      <c r="F18" s="29" t="str">
        <f>IF(D18="Empty Row", "Empty Row",
   _xlfn.LET(
       _xlpm.lookupResult, _xlfn.XLOOKUP(D18, RawDataTable[Account Name and Number], RawDataTable[Investment Amount], "MISSING VALUE"),
       IF(ISNUMBER(_xlpm.lookupResult), _xlpm.lookupResult, "INVALID VALUE")
   )
)</f>
        <v>Empty Row</v>
      </c>
      <c r="G18" s="28" t="str">
        <f t="shared" ca="1" si="0"/>
        <v>Empty Row</v>
      </c>
      <c r="H18" s="29" t="str">
        <f>IF(D18="Empty Row", "Empty Row",
   _xlfn.LET(
       _xlpm.lookupResult, _xlfn.XLOOKUP(D18, RawDataTable[Account Name and Number], RawDataTable[Valuation Amount], "MISSING VALUE"),
       IF(ISNUMBER(_xlpm.lookupResult), _xlpm.lookupResult, "INVALID VALUE")
   )
)</f>
        <v>Empty Row</v>
      </c>
      <c r="I18" s="2" t="str">
        <f>IF(D18="Empty Row", "Empty Row", IF(_xlfn.XLOOKUP(B18, MasterTable[IRA Custodian], MasterTable[Address], "")="", "NO STREET NAME FOUND", _xlfn.XLOOKUP(B18, MasterTable[IRA Custodian], MasterTable[Address], "")))</f>
        <v>Empty Row</v>
      </c>
      <c r="J18" s="2" t="str">
        <f>IF(D18="Empty Row", "Empty Row",
   IF(OR(
       _xlfn.XLOOKUP(B18, MasterTable[IRA Custodian], MasterTable[City], "")="",
       _xlfn.XLOOKUP(B18, MasterTable[IRA Custodian], MasterTable[State], "")="",
       _xlfn.XLOOKUP(B18, MasterTable[IRA Custodian], MasterTable[Zip], "")=""),
       "INCOMPLETE ADDRESS",
       _xlfn.CONCAT(
           _xlfn.XLOOKUP(B18, MasterTable[IRA Custodian], MasterTable[City], ""), ", ",
           _xlfn.XLOOKUP(B18, MasterTable[IRA Custodian], MasterTable[State], ""), " ",
           _xlfn.XLOOKUP(B18, MasterTable[IRA Custodian], MasterTable[Zip], "")
       )
   )
)</f>
        <v>Empty Row</v>
      </c>
    </row>
    <row r="19" spans="1:10" x14ac:dyDescent="0.25">
      <c r="A19" t="str">
        <f>IF(D19="Empty Row", "Empty Row",
   _xlfn.LET(
       _xlpm.lookupResult, _xlfn.XLOOKUP(D19, RawDataTable[Account Name and Number], RawDataTable[Entity], "RAW DATA MISSING"),
       IF(ISBLANK(_xlpm.lookupResult), "RAW DATA MISSING", _xlpm.lookupResult)
   )
)</f>
        <v>Empty Row</v>
      </c>
      <c r="B19" t="str">
        <f>IF(D19="Empty Row", "Empty Row",
   _xlfn.LET(
       _xlpm.rawDataLookup, _xlfn.XLOOKUP(D19,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9" s="56" t="str" cm="1">
        <f t="array" ref="C19">IF(D19="Empty Row", "Empty Row",
   IF(COUNTIF('Name Mapping'!H:AD, D19) &gt; 0,
      INDEX('Name Mapping'!F:F, MATCH(TRUE, MMULT(--('Name Mapping'!H:AD=D19), TRANSPOSE(COLUMN('Name Mapping'!H:AD)^0)) &gt; 0, 0)),
      "")
)</f>
        <v>Empty Row</v>
      </c>
      <c r="D19" t="str">
        <f>IF(RawDataTable[[#This Row],[Account Name and Number]]&lt;&gt;"", RawDataTable[[#This Row],[Account Name and Number]], "Empty Row")</f>
        <v>Empty Row</v>
      </c>
      <c r="E19" s="28" t="str">
        <f>IF(D19="Empty Row", "Empty Row",
   _xlfn.LET(
       _xlpm.lookupResult, _xlfn.XLOOKUP(D19, RawDataTable[Account Name and Number], RawDataTable[Investment Date], "MISSING VALUE"),
       IF(ISNUMBER(_xlpm.lookupResult), _xlpm.lookupResult, "INVALID VALUE")
   )
)</f>
        <v>Empty Row</v>
      </c>
      <c r="F19" s="29" t="str">
        <f>IF(D19="Empty Row", "Empty Row",
   _xlfn.LET(
       _xlpm.lookupResult, _xlfn.XLOOKUP(D19, RawDataTable[Account Name and Number], RawDataTable[Investment Amount], "MISSING VALUE"),
       IF(ISNUMBER(_xlpm.lookupResult), _xlpm.lookupResult, "INVALID VALUE")
   )
)</f>
        <v>Empty Row</v>
      </c>
      <c r="G19" s="28" t="str">
        <f t="shared" ca="1" si="0"/>
        <v>Empty Row</v>
      </c>
      <c r="H19" s="29" t="str">
        <f>IF(D19="Empty Row", "Empty Row",
   _xlfn.LET(
       _xlpm.lookupResult, _xlfn.XLOOKUP(D19, RawDataTable[Account Name and Number], RawDataTable[Valuation Amount], "MISSING VALUE"),
       IF(ISNUMBER(_xlpm.lookupResult), _xlpm.lookupResult, "INVALID VALUE")
   )
)</f>
        <v>Empty Row</v>
      </c>
      <c r="I19" s="2" t="str">
        <f>IF(D19="Empty Row", "Empty Row", IF(_xlfn.XLOOKUP(B19, MasterTable[IRA Custodian], MasterTable[Address], "")="", "NO STREET NAME FOUND", _xlfn.XLOOKUP(B19, MasterTable[IRA Custodian], MasterTable[Address], "")))</f>
        <v>Empty Row</v>
      </c>
      <c r="J19" s="2" t="str">
        <f>IF(D19="Empty Row", "Empty Row",
   IF(OR(
       _xlfn.XLOOKUP(B19, MasterTable[IRA Custodian], MasterTable[City], "")="",
       _xlfn.XLOOKUP(B19, MasterTable[IRA Custodian], MasterTable[State], "")="",
       _xlfn.XLOOKUP(B19, MasterTable[IRA Custodian], MasterTable[Zip], "")=""),
       "INCOMPLETE ADDRESS",
       _xlfn.CONCAT(
           _xlfn.XLOOKUP(B19, MasterTable[IRA Custodian], MasterTable[City], ""), ", ",
           _xlfn.XLOOKUP(B19, MasterTable[IRA Custodian], MasterTable[State], ""), " ",
           _xlfn.XLOOKUP(B19, MasterTable[IRA Custodian], MasterTable[Zip], "")
       )
   )
)</f>
        <v>Empty Row</v>
      </c>
    </row>
    <row r="20" spans="1:10" x14ac:dyDescent="0.25">
      <c r="A20" t="str">
        <f>IF(D20="Empty Row", "Empty Row",
   _xlfn.LET(
       _xlpm.lookupResult, _xlfn.XLOOKUP(D20, RawDataTable[Account Name and Number], RawDataTable[Entity], "RAW DATA MISSING"),
       IF(ISBLANK(_xlpm.lookupResult), "RAW DATA MISSING", _xlpm.lookupResult)
   )
)</f>
        <v>Empty Row</v>
      </c>
      <c r="B20" t="str">
        <f>IF(D20="Empty Row", "Empty Row",
   _xlfn.LET(
       _xlpm.rawDataLookup, _xlfn.XLOOKUP(D20,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0" s="56" t="str" cm="1">
        <f t="array" ref="C20">IF(D20="Empty Row", "Empty Row",
   IF(COUNTIF('Name Mapping'!H:AD, D20) &gt; 0,
      INDEX('Name Mapping'!F:F, MATCH(TRUE, MMULT(--('Name Mapping'!H:AD=D20), TRANSPOSE(COLUMN('Name Mapping'!H:AD)^0)) &gt; 0, 0)),
      "")
)</f>
        <v>Empty Row</v>
      </c>
      <c r="D20" t="str">
        <f>IF(RawDataTable[[#This Row],[Account Name and Number]]&lt;&gt;"", RawDataTable[[#This Row],[Account Name and Number]], "Empty Row")</f>
        <v>Empty Row</v>
      </c>
      <c r="E20" s="28" t="str">
        <f>IF(D20="Empty Row", "Empty Row",
   _xlfn.LET(
       _xlpm.lookupResult, _xlfn.XLOOKUP(D20, RawDataTable[Account Name and Number], RawDataTable[Investment Date], "MISSING VALUE"),
       IF(ISNUMBER(_xlpm.lookupResult), _xlpm.lookupResult, "INVALID VALUE")
   )
)</f>
        <v>Empty Row</v>
      </c>
      <c r="F20" s="29" t="str">
        <f>IF(D20="Empty Row", "Empty Row",
   _xlfn.LET(
       _xlpm.lookupResult, _xlfn.XLOOKUP(D20, RawDataTable[Account Name and Number], RawDataTable[Investment Amount], "MISSING VALUE"),
       IF(ISNUMBER(_xlpm.lookupResult), _xlpm.lookupResult, "INVALID VALUE")
   )
)</f>
        <v>Empty Row</v>
      </c>
      <c r="G20" s="28" t="str">
        <f t="shared" ca="1" si="0"/>
        <v>Empty Row</v>
      </c>
      <c r="H20" s="29" t="str">
        <f>IF(D20="Empty Row", "Empty Row",
   _xlfn.LET(
       _xlpm.lookupResult, _xlfn.XLOOKUP(D20, RawDataTable[Account Name and Number], RawDataTable[Valuation Amount], "MISSING VALUE"),
       IF(ISNUMBER(_xlpm.lookupResult), _xlpm.lookupResult, "INVALID VALUE")
   )
)</f>
        <v>Empty Row</v>
      </c>
      <c r="I20" s="2" t="str">
        <f>IF(D20="Empty Row", "Empty Row", IF(_xlfn.XLOOKUP(B20, MasterTable[IRA Custodian], MasterTable[Address], "")="", "NO STREET NAME FOUND", _xlfn.XLOOKUP(B20, MasterTable[IRA Custodian], MasterTable[Address], "")))</f>
        <v>Empty Row</v>
      </c>
      <c r="J20" s="2" t="str">
        <f>IF(D20="Empty Row", "Empty Row",
   IF(OR(
       _xlfn.XLOOKUP(B20, MasterTable[IRA Custodian], MasterTable[City], "")="",
       _xlfn.XLOOKUP(B20, MasterTable[IRA Custodian], MasterTable[State], "")="",
       _xlfn.XLOOKUP(B20, MasterTable[IRA Custodian], MasterTable[Zip], "")=""),
       "INCOMPLETE ADDRESS",
       _xlfn.CONCAT(
           _xlfn.XLOOKUP(B20, MasterTable[IRA Custodian], MasterTable[City], ""), ", ",
           _xlfn.XLOOKUP(B20, MasterTable[IRA Custodian], MasterTable[State], ""), " ",
           _xlfn.XLOOKUP(B20, MasterTable[IRA Custodian], MasterTable[Zip], "")
       )
   )
)</f>
        <v>Empty Row</v>
      </c>
    </row>
    <row r="21" spans="1:10" x14ac:dyDescent="0.25">
      <c r="A21" t="str">
        <f>IF(D21="Empty Row", "Empty Row",
   _xlfn.LET(
       _xlpm.lookupResult, _xlfn.XLOOKUP(D21, RawDataTable[Account Name and Number], RawDataTable[Entity], "RAW DATA MISSING"),
       IF(ISBLANK(_xlpm.lookupResult), "RAW DATA MISSING", _xlpm.lookupResult)
   )
)</f>
        <v>Empty Row</v>
      </c>
      <c r="B21" t="str">
        <f>IF(D21="Empty Row", "Empty Row",
   _xlfn.LET(
       _xlpm.rawDataLookup, _xlfn.XLOOKUP(D21,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1" s="56" t="str" cm="1">
        <f t="array" ref="C21">IF(D21="Empty Row", "Empty Row",
   IF(COUNTIF('Name Mapping'!H:AD, D21) &gt; 0,
      INDEX('Name Mapping'!F:F, MATCH(TRUE, MMULT(--('Name Mapping'!H:AD=D21), TRANSPOSE(COLUMN('Name Mapping'!H:AD)^0)) &gt; 0, 0)),
      "")
)</f>
        <v>Empty Row</v>
      </c>
      <c r="D21" t="str">
        <f>IF(RawDataTable[[#This Row],[Account Name and Number]]&lt;&gt;"", RawDataTable[[#This Row],[Account Name and Number]], "Empty Row")</f>
        <v>Empty Row</v>
      </c>
      <c r="E21" s="28" t="str">
        <f>IF(D21="Empty Row", "Empty Row",
   _xlfn.LET(
       _xlpm.lookupResult, _xlfn.XLOOKUP(D21, RawDataTable[Account Name and Number], RawDataTable[Investment Date], "MISSING VALUE"),
       IF(ISNUMBER(_xlpm.lookupResult), _xlpm.lookupResult, "INVALID VALUE")
   )
)</f>
        <v>Empty Row</v>
      </c>
      <c r="F21" s="29" t="str">
        <f>IF(D21="Empty Row", "Empty Row",
   _xlfn.LET(
       _xlpm.lookupResult, _xlfn.XLOOKUP(D21, RawDataTable[Account Name and Number], RawDataTable[Investment Amount], "MISSING VALUE"),
       IF(ISNUMBER(_xlpm.lookupResult), _xlpm.lookupResult, "INVALID VALUE")
   )
)</f>
        <v>Empty Row</v>
      </c>
      <c r="G21" s="28" t="str">
        <f t="shared" ca="1" si="0"/>
        <v>Empty Row</v>
      </c>
      <c r="H21" s="29" t="str">
        <f>IF(D21="Empty Row", "Empty Row",
   _xlfn.LET(
       _xlpm.lookupResult, _xlfn.XLOOKUP(D21, RawDataTable[Account Name and Number], RawDataTable[Valuation Amount], "MISSING VALUE"),
       IF(ISNUMBER(_xlpm.lookupResult), _xlpm.lookupResult, "INVALID VALUE")
   )
)</f>
        <v>Empty Row</v>
      </c>
      <c r="I21" s="2" t="str">
        <f>IF(D21="Empty Row", "Empty Row", IF(_xlfn.XLOOKUP(B21, MasterTable[IRA Custodian], MasterTable[Address], "")="", "NO STREET NAME FOUND", _xlfn.XLOOKUP(B21, MasterTable[IRA Custodian], MasterTable[Address], "")))</f>
        <v>Empty Row</v>
      </c>
      <c r="J21" s="2" t="str">
        <f>IF(D21="Empty Row", "Empty Row",
   IF(OR(
       _xlfn.XLOOKUP(B21, MasterTable[IRA Custodian], MasterTable[City], "")="",
       _xlfn.XLOOKUP(B21, MasterTable[IRA Custodian], MasterTable[State], "")="",
       _xlfn.XLOOKUP(B21, MasterTable[IRA Custodian], MasterTable[Zip], "")=""),
       "INCOMPLETE ADDRESS",
       _xlfn.CONCAT(
           _xlfn.XLOOKUP(B21, MasterTable[IRA Custodian], MasterTable[City], ""), ", ",
           _xlfn.XLOOKUP(B21, MasterTable[IRA Custodian], MasterTable[State], ""), " ",
           _xlfn.XLOOKUP(B21, MasterTable[IRA Custodian], MasterTable[Zip], "")
       )
   )
)</f>
        <v>Empty Row</v>
      </c>
    </row>
    <row r="22" spans="1:10" x14ac:dyDescent="0.25">
      <c r="A22" t="str">
        <f>IF(D22="Empty Row", "Empty Row",
   _xlfn.LET(
       _xlpm.lookupResult, _xlfn.XLOOKUP(D22, RawDataTable[Account Name and Number], RawDataTable[Entity], "RAW DATA MISSING"),
       IF(ISBLANK(_xlpm.lookupResult), "RAW DATA MISSING", _xlpm.lookupResult)
   )
)</f>
        <v>Empty Row</v>
      </c>
      <c r="B22" t="str">
        <f>IF(D22="Empty Row", "Empty Row",
   _xlfn.LET(
       _xlpm.rawDataLookup, _xlfn.XLOOKUP(D22,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2" s="56" t="str" cm="1">
        <f t="array" ref="C22">IF(D22="Empty Row", "Empty Row",
   IF(COUNTIF('Name Mapping'!H:AD, D22) &gt; 0,
      INDEX('Name Mapping'!F:F, MATCH(TRUE, MMULT(--('Name Mapping'!H:AD=D22), TRANSPOSE(COLUMN('Name Mapping'!H:AD)^0)) &gt; 0, 0)),
      "")
)</f>
        <v>Empty Row</v>
      </c>
      <c r="D22" t="str">
        <f>IF(RawDataTable[[#This Row],[Account Name and Number]]&lt;&gt;"", RawDataTable[[#This Row],[Account Name and Number]], "Empty Row")</f>
        <v>Empty Row</v>
      </c>
      <c r="E22" s="28" t="str">
        <f>IF(D22="Empty Row", "Empty Row",
   _xlfn.LET(
       _xlpm.lookupResult, _xlfn.XLOOKUP(D22, RawDataTable[Account Name and Number], RawDataTable[Investment Date], "MISSING VALUE"),
       IF(ISNUMBER(_xlpm.lookupResult), _xlpm.lookupResult, "INVALID VALUE")
   )
)</f>
        <v>Empty Row</v>
      </c>
      <c r="F22" s="29" t="str">
        <f>IF(D22="Empty Row", "Empty Row",
   _xlfn.LET(
       _xlpm.lookupResult, _xlfn.XLOOKUP(D22, RawDataTable[Account Name and Number], RawDataTable[Investment Amount], "MISSING VALUE"),
       IF(ISNUMBER(_xlpm.lookupResult), _xlpm.lookupResult, "INVALID VALUE")
   )
)</f>
        <v>Empty Row</v>
      </c>
      <c r="G22" s="28" t="str">
        <f t="shared" ca="1" si="0"/>
        <v>Empty Row</v>
      </c>
      <c r="H22" s="29" t="str">
        <f>IF(D22="Empty Row", "Empty Row",
   _xlfn.LET(
       _xlpm.lookupResult, _xlfn.XLOOKUP(D22, RawDataTable[Account Name and Number], RawDataTable[Valuation Amount], "MISSING VALUE"),
       IF(ISNUMBER(_xlpm.lookupResult), _xlpm.lookupResult, "INVALID VALUE")
   )
)</f>
        <v>Empty Row</v>
      </c>
      <c r="I22" s="2" t="str">
        <f>IF(D22="Empty Row", "Empty Row", IF(_xlfn.XLOOKUP(B22, MasterTable[IRA Custodian], MasterTable[Address], "")="", "NO STREET NAME FOUND", _xlfn.XLOOKUP(B22, MasterTable[IRA Custodian], MasterTable[Address], "")))</f>
        <v>Empty Row</v>
      </c>
      <c r="J22" s="2" t="str">
        <f>IF(D22="Empty Row", "Empty Row",
   IF(OR(
       _xlfn.XLOOKUP(B22, MasterTable[IRA Custodian], MasterTable[City], "")="",
       _xlfn.XLOOKUP(B22, MasterTable[IRA Custodian], MasterTable[State], "")="",
       _xlfn.XLOOKUP(B22, MasterTable[IRA Custodian], MasterTable[Zip], "")=""),
       "INCOMPLETE ADDRESS",
       _xlfn.CONCAT(
           _xlfn.XLOOKUP(B22, MasterTable[IRA Custodian], MasterTable[City], ""), ", ",
           _xlfn.XLOOKUP(B22, MasterTable[IRA Custodian], MasterTable[State], ""), " ",
           _xlfn.XLOOKUP(B22, MasterTable[IRA Custodian], MasterTable[Zip], "")
       )
   )
)</f>
        <v>Empty Row</v>
      </c>
    </row>
    <row r="23" spans="1:10" x14ac:dyDescent="0.25">
      <c r="A23" t="str">
        <f>IF(D23="Empty Row", "Empty Row",
   _xlfn.LET(
       _xlpm.lookupResult, _xlfn.XLOOKUP(D23, RawDataTable[Account Name and Number], RawDataTable[Entity], "RAW DATA MISSING"),
       IF(ISBLANK(_xlpm.lookupResult), "RAW DATA MISSING", _xlpm.lookupResult)
   )
)</f>
        <v>Empty Row</v>
      </c>
      <c r="B23" t="str">
        <f>IF(D23="Empty Row", "Empty Row",
   _xlfn.LET(
       _xlpm.rawDataLookup, _xlfn.XLOOKUP(D23,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3" s="56" t="str" cm="1">
        <f t="array" ref="C23">IF(D23="Empty Row", "Empty Row",
   IF(COUNTIF('Name Mapping'!H:AD, D23) &gt; 0,
      INDEX('Name Mapping'!F:F, MATCH(TRUE, MMULT(--('Name Mapping'!H:AD=D23), TRANSPOSE(COLUMN('Name Mapping'!H:AD)^0)) &gt; 0, 0)),
      "")
)</f>
        <v>Empty Row</v>
      </c>
      <c r="D23" t="str">
        <f>IF(RawDataTable[[#This Row],[Account Name and Number]]&lt;&gt;"", RawDataTable[[#This Row],[Account Name and Number]], "Empty Row")</f>
        <v>Empty Row</v>
      </c>
      <c r="E23" s="28" t="str">
        <f>IF(D23="Empty Row", "Empty Row",
   _xlfn.LET(
       _xlpm.lookupResult, _xlfn.XLOOKUP(D23, RawDataTable[Account Name and Number], RawDataTable[Investment Date], "MISSING VALUE"),
       IF(ISNUMBER(_xlpm.lookupResult), _xlpm.lookupResult, "INVALID VALUE")
   )
)</f>
        <v>Empty Row</v>
      </c>
      <c r="F23" s="29" t="str">
        <f>IF(D23="Empty Row", "Empty Row",
   _xlfn.LET(
       _xlpm.lookupResult, _xlfn.XLOOKUP(D23, RawDataTable[Account Name and Number], RawDataTable[Investment Amount], "MISSING VALUE"),
       IF(ISNUMBER(_xlpm.lookupResult), _xlpm.lookupResult, "INVALID VALUE")
   )
)</f>
        <v>Empty Row</v>
      </c>
      <c r="G23" s="28" t="str">
        <f t="shared" ca="1" si="0"/>
        <v>Empty Row</v>
      </c>
      <c r="H23" s="29" t="str">
        <f>IF(D23="Empty Row", "Empty Row",
   _xlfn.LET(
       _xlpm.lookupResult, _xlfn.XLOOKUP(D23, RawDataTable[Account Name and Number], RawDataTable[Valuation Amount], "MISSING VALUE"),
       IF(ISNUMBER(_xlpm.lookupResult), _xlpm.lookupResult, "INVALID VALUE")
   )
)</f>
        <v>Empty Row</v>
      </c>
      <c r="I23" s="2" t="str">
        <f>IF(D23="Empty Row", "Empty Row", IF(_xlfn.XLOOKUP(B23, MasterTable[IRA Custodian], MasterTable[Address], "")="", "NO STREET NAME FOUND", _xlfn.XLOOKUP(B23, MasterTable[IRA Custodian], MasterTable[Address], "")))</f>
        <v>Empty Row</v>
      </c>
      <c r="J23" s="2" t="str">
        <f>IF(D23="Empty Row", "Empty Row",
   IF(OR(
       _xlfn.XLOOKUP(B23, MasterTable[IRA Custodian], MasterTable[City], "")="",
       _xlfn.XLOOKUP(B23, MasterTable[IRA Custodian], MasterTable[State], "")="",
       _xlfn.XLOOKUP(B23, MasterTable[IRA Custodian], MasterTable[Zip], "")=""),
       "INCOMPLETE ADDRESS",
       _xlfn.CONCAT(
           _xlfn.XLOOKUP(B23, MasterTable[IRA Custodian], MasterTable[City], ""), ", ",
           _xlfn.XLOOKUP(B23, MasterTable[IRA Custodian], MasterTable[State], ""), " ",
           _xlfn.XLOOKUP(B23, MasterTable[IRA Custodian], MasterTable[Zip], "")
       )
   )
)</f>
        <v>Empty Row</v>
      </c>
    </row>
    <row r="24" spans="1:10" x14ac:dyDescent="0.25">
      <c r="A24" t="str">
        <f>IF(D24="Empty Row", "Empty Row",
   _xlfn.LET(
       _xlpm.lookupResult, _xlfn.XLOOKUP(D24, RawDataTable[Account Name and Number], RawDataTable[Entity], "RAW DATA MISSING"),
       IF(ISBLANK(_xlpm.lookupResult), "RAW DATA MISSING", _xlpm.lookupResult)
   )
)</f>
        <v>Empty Row</v>
      </c>
      <c r="B24" t="str">
        <f>IF(D24="Empty Row", "Empty Row",
   _xlfn.LET(
       _xlpm.rawDataLookup, _xlfn.XLOOKUP(D24,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4" s="56" t="str" cm="1">
        <f t="array" ref="C24">IF(D24="Empty Row", "Empty Row",
   IF(COUNTIF('Name Mapping'!H:AD, D24) &gt; 0,
      INDEX('Name Mapping'!F:F, MATCH(TRUE, MMULT(--('Name Mapping'!H:AD=D24), TRANSPOSE(COLUMN('Name Mapping'!H:AD)^0)) &gt; 0, 0)),
      "")
)</f>
        <v>Empty Row</v>
      </c>
      <c r="D24" t="str">
        <f>IF(RawDataTable[[#This Row],[Account Name and Number]]&lt;&gt;"", RawDataTable[[#This Row],[Account Name and Number]], "Empty Row")</f>
        <v>Empty Row</v>
      </c>
      <c r="E24" s="28" t="str">
        <f>IF(D24="Empty Row", "Empty Row",
   _xlfn.LET(
       _xlpm.lookupResult, _xlfn.XLOOKUP(D24, RawDataTable[Account Name and Number], RawDataTable[Investment Date], "MISSING VALUE"),
       IF(ISNUMBER(_xlpm.lookupResult), _xlpm.lookupResult, "INVALID VALUE")
   )
)</f>
        <v>Empty Row</v>
      </c>
      <c r="F24" s="29" t="str">
        <f>IF(D24="Empty Row", "Empty Row",
   _xlfn.LET(
       _xlpm.lookupResult, _xlfn.XLOOKUP(D24, RawDataTable[Account Name and Number], RawDataTable[Investment Amount], "MISSING VALUE"),
       IF(ISNUMBER(_xlpm.lookupResult), _xlpm.lookupResult, "INVALID VALUE")
   )
)</f>
        <v>Empty Row</v>
      </c>
      <c r="G24" s="28" t="str">
        <f t="shared" ca="1" si="0"/>
        <v>Empty Row</v>
      </c>
      <c r="H24" s="29" t="str">
        <f>IF(D24="Empty Row", "Empty Row",
   _xlfn.LET(
       _xlpm.lookupResult, _xlfn.XLOOKUP(D24, RawDataTable[Account Name and Number], RawDataTable[Valuation Amount], "MISSING VALUE"),
       IF(ISNUMBER(_xlpm.lookupResult), _xlpm.lookupResult, "INVALID VALUE")
   )
)</f>
        <v>Empty Row</v>
      </c>
      <c r="I24" s="2" t="str">
        <f>IF(D24="Empty Row", "Empty Row", IF(_xlfn.XLOOKUP(B24, MasterTable[IRA Custodian], MasterTable[Address], "")="", "NO STREET NAME FOUND", _xlfn.XLOOKUP(B24, MasterTable[IRA Custodian], MasterTable[Address], "")))</f>
        <v>Empty Row</v>
      </c>
      <c r="J24" s="2" t="str">
        <f>IF(D24="Empty Row", "Empty Row",
   IF(OR(
       _xlfn.XLOOKUP(B24, MasterTable[IRA Custodian], MasterTable[City], "")="",
       _xlfn.XLOOKUP(B24, MasterTable[IRA Custodian], MasterTable[State], "")="",
       _xlfn.XLOOKUP(B24, MasterTable[IRA Custodian], MasterTable[Zip], "")=""),
       "INCOMPLETE ADDRESS",
       _xlfn.CONCAT(
           _xlfn.XLOOKUP(B24, MasterTable[IRA Custodian], MasterTable[City], ""), ", ",
           _xlfn.XLOOKUP(B24, MasterTable[IRA Custodian], MasterTable[State], ""), " ",
           _xlfn.XLOOKUP(B24, MasterTable[IRA Custodian], MasterTable[Zip], "")
       )
   )
)</f>
        <v>Empty Row</v>
      </c>
    </row>
    <row r="25" spans="1:10" x14ac:dyDescent="0.25">
      <c r="A25" t="str">
        <f>IF(D25="Empty Row", "Empty Row",
   _xlfn.LET(
       _xlpm.lookupResult, _xlfn.XLOOKUP(D25, RawDataTable[Account Name and Number], RawDataTable[Entity], "RAW DATA MISSING"),
       IF(ISBLANK(_xlpm.lookupResult), "RAW DATA MISSING", _xlpm.lookupResult)
   )
)</f>
        <v>Empty Row</v>
      </c>
      <c r="B25" t="str">
        <f>IF(D25="Empty Row", "Empty Row",
   _xlfn.LET(
       _xlpm.rawDataLookup, _xlfn.XLOOKUP(D25,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5" s="56" t="str" cm="1">
        <f t="array" ref="C25">IF(D25="Empty Row", "Empty Row",
   IF(COUNTIF('Name Mapping'!H:AD, D25) &gt; 0,
      INDEX('Name Mapping'!F:F, MATCH(TRUE, MMULT(--('Name Mapping'!H:AD=D25), TRANSPOSE(COLUMN('Name Mapping'!H:AD)^0)) &gt; 0, 0)),
      "")
)</f>
        <v>Empty Row</v>
      </c>
      <c r="D25" t="str">
        <f>IF(RawDataTable[[#This Row],[Account Name and Number]]&lt;&gt;"", RawDataTable[[#This Row],[Account Name and Number]], "Empty Row")</f>
        <v>Empty Row</v>
      </c>
      <c r="E25" s="28" t="str">
        <f>IF(D25="Empty Row", "Empty Row",
   _xlfn.LET(
       _xlpm.lookupResult, _xlfn.XLOOKUP(D25, RawDataTable[Account Name and Number], RawDataTable[Investment Date], "MISSING VALUE"),
       IF(ISNUMBER(_xlpm.lookupResult), _xlpm.lookupResult, "INVALID VALUE")
   )
)</f>
        <v>Empty Row</v>
      </c>
      <c r="F25" s="29" t="str">
        <f>IF(D25="Empty Row", "Empty Row",
   _xlfn.LET(
       _xlpm.lookupResult, _xlfn.XLOOKUP(D25, RawDataTable[Account Name and Number], RawDataTable[Investment Amount], "MISSING VALUE"),
       IF(ISNUMBER(_xlpm.lookupResult), _xlpm.lookupResult, "INVALID VALUE")
   )
)</f>
        <v>Empty Row</v>
      </c>
      <c r="G25" s="28" t="str">
        <f t="shared" ca="1" si="0"/>
        <v>Empty Row</v>
      </c>
      <c r="H25" s="29" t="str">
        <f>IF(D25="Empty Row", "Empty Row",
   _xlfn.LET(
       _xlpm.lookupResult, _xlfn.XLOOKUP(D25, RawDataTable[Account Name and Number], RawDataTable[Valuation Amount], "MISSING VALUE"),
       IF(ISNUMBER(_xlpm.lookupResult), _xlpm.lookupResult, "INVALID VALUE")
   )
)</f>
        <v>Empty Row</v>
      </c>
      <c r="I25" s="2" t="str">
        <f>IF(D25="Empty Row", "Empty Row", IF(_xlfn.XLOOKUP(B25, MasterTable[IRA Custodian], MasterTable[Address], "")="", "NO STREET NAME FOUND", _xlfn.XLOOKUP(B25, MasterTable[IRA Custodian], MasterTable[Address], "")))</f>
        <v>Empty Row</v>
      </c>
      <c r="J25" s="2" t="str">
        <f>IF(D25="Empty Row", "Empty Row",
   IF(OR(
       _xlfn.XLOOKUP(B25, MasterTable[IRA Custodian], MasterTable[City], "")="",
       _xlfn.XLOOKUP(B25, MasterTable[IRA Custodian], MasterTable[State], "")="",
       _xlfn.XLOOKUP(B25, MasterTable[IRA Custodian], MasterTable[Zip], "")=""),
       "INCOMPLETE ADDRESS",
       _xlfn.CONCAT(
           _xlfn.XLOOKUP(B25, MasterTable[IRA Custodian], MasterTable[City], ""), ", ",
           _xlfn.XLOOKUP(B25, MasterTable[IRA Custodian], MasterTable[State], ""), " ",
           _xlfn.XLOOKUP(B25, MasterTable[IRA Custodian], MasterTable[Zip], "")
       )
   )
)</f>
        <v>Empty Row</v>
      </c>
    </row>
    <row r="26" spans="1:10" x14ac:dyDescent="0.25">
      <c r="A26" t="str">
        <f>IF(D26="Empty Row", "Empty Row",
   _xlfn.LET(
       _xlpm.lookupResult, _xlfn.XLOOKUP(D26, RawDataTable[Account Name and Number], RawDataTable[Entity], "RAW DATA MISSING"),
       IF(ISBLANK(_xlpm.lookupResult), "RAW DATA MISSING", _xlpm.lookupResult)
   )
)</f>
        <v>Empty Row</v>
      </c>
      <c r="B26" t="str">
        <f>IF(D26="Empty Row", "Empty Row",
   _xlfn.LET(
       _xlpm.rawDataLookup, _xlfn.XLOOKUP(D26,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6" s="56" t="str" cm="1">
        <f t="array" ref="C26">IF(D26="Empty Row", "Empty Row",
   IF(COUNTIF('Name Mapping'!H:AD, D26) &gt; 0,
      INDEX('Name Mapping'!F:F, MATCH(TRUE, MMULT(--('Name Mapping'!H:AD=D26), TRANSPOSE(COLUMN('Name Mapping'!H:AD)^0)) &gt; 0, 0)),
      "")
)</f>
        <v>Empty Row</v>
      </c>
      <c r="D26" t="str">
        <f>IF(RawDataTable[[#This Row],[Account Name and Number]]&lt;&gt;"", RawDataTable[[#This Row],[Account Name and Number]], "Empty Row")</f>
        <v>Empty Row</v>
      </c>
      <c r="E26" s="28" t="str">
        <f>IF(D26="Empty Row", "Empty Row",
   _xlfn.LET(
       _xlpm.lookupResult, _xlfn.XLOOKUP(D26, RawDataTable[Account Name and Number], RawDataTable[Investment Date], "MISSING VALUE"),
       IF(ISNUMBER(_xlpm.lookupResult), _xlpm.lookupResult, "INVALID VALUE")
   )
)</f>
        <v>Empty Row</v>
      </c>
      <c r="F26" s="29" t="str">
        <f>IF(D26="Empty Row", "Empty Row",
   _xlfn.LET(
       _xlpm.lookupResult, _xlfn.XLOOKUP(D26, RawDataTable[Account Name and Number], RawDataTable[Investment Amount], "MISSING VALUE"),
       IF(ISNUMBER(_xlpm.lookupResult), _xlpm.lookupResult, "INVALID VALUE")
   )
)</f>
        <v>Empty Row</v>
      </c>
      <c r="G26" s="28" t="str">
        <f t="shared" ca="1" si="0"/>
        <v>Empty Row</v>
      </c>
      <c r="H26" s="29" t="str">
        <f>IF(D26="Empty Row", "Empty Row",
   _xlfn.LET(
       _xlpm.lookupResult, _xlfn.XLOOKUP(D26, RawDataTable[Account Name and Number], RawDataTable[Valuation Amount], "MISSING VALUE"),
       IF(ISNUMBER(_xlpm.lookupResult), _xlpm.lookupResult, "INVALID VALUE")
   )
)</f>
        <v>Empty Row</v>
      </c>
      <c r="I26" s="2" t="str">
        <f>IF(D26="Empty Row", "Empty Row", IF(_xlfn.XLOOKUP(B26, MasterTable[IRA Custodian], MasterTable[Address], "")="", "NO STREET NAME FOUND", _xlfn.XLOOKUP(B26, MasterTable[IRA Custodian], MasterTable[Address], "")))</f>
        <v>Empty Row</v>
      </c>
      <c r="J26" s="2" t="str">
        <f>IF(D26="Empty Row", "Empty Row",
   IF(OR(
       _xlfn.XLOOKUP(B26, MasterTable[IRA Custodian], MasterTable[City], "")="",
       _xlfn.XLOOKUP(B26, MasterTable[IRA Custodian], MasterTable[State], "")="",
       _xlfn.XLOOKUP(B26, MasterTable[IRA Custodian], MasterTable[Zip], "")=""),
       "INCOMPLETE ADDRESS",
       _xlfn.CONCAT(
           _xlfn.XLOOKUP(B26, MasterTable[IRA Custodian], MasterTable[City], ""), ", ",
           _xlfn.XLOOKUP(B26, MasterTable[IRA Custodian], MasterTable[State], ""), " ",
           _xlfn.XLOOKUP(B26, MasterTable[IRA Custodian], MasterTable[Zip], "")
       )
   )
)</f>
        <v>Empty Row</v>
      </c>
    </row>
    <row r="27" spans="1:10" x14ac:dyDescent="0.25">
      <c r="A27" t="str">
        <f>IF(D27="Empty Row", "Empty Row",
   _xlfn.LET(
       _xlpm.lookupResult, _xlfn.XLOOKUP(D27, RawDataTable[Account Name and Number], RawDataTable[Entity], "RAW DATA MISSING"),
       IF(ISBLANK(_xlpm.lookupResult), "RAW DATA MISSING", _xlpm.lookupResult)
   )
)</f>
        <v>Empty Row</v>
      </c>
      <c r="B27" t="str">
        <f>IF(D27="Empty Row", "Empty Row",
   _xlfn.LET(
       _xlpm.rawDataLookup, _xlfn.XLOOKUP(D27,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7" s="56" t="str" cm="1">
        <f t="array" ref="C27">IF(D27="Empty Row", "Empty Row",
   IF(COUNTIF('Name Mapping'!H:AD, D27) &gt; 0,
      INDEX('Name Mapping'!F:F, MATCH(TRUE, MMULT(--('Name Mapping'!H:AD=D27), TRANSPOSE(COLUMN('Name Mapping'!H:AD)^0)) &gt; 0, 0)),
      "")
)</f>
        <v>Empty Row</v>
      </c>
      <c r="D27" t="str">
        <f>IF(RawDataTable[[#This Row],[Account Name and Number]]&lt;&gt;"", RawDataTable[[#This Row],[Account Name and Number]], "Empty Row")</f>
        <v>Empty Row</v>
      </c>
      <c r="E27" s="28" t="str">
        <f>IF(D27="Empty Row", "Empty Row",
   _xlfn.LET(
       _xlpm.lookupResult, _xlfn.XLOOKUP(D27, RawDataTable[Account Name and Number], RawDataTable[Investment Date], "MISSING VALUE"),
       IF(ISNUMBER(_xlpm.lookupResult), _xlpm.lookupResult, "INVALID VALUE")
   )
)</f>
        <v>Empty Row</v>
      </c>
      <c r="F27" s="29" t="str">
        <f>IF(D27="Empty Row", "Empty Row",
   _xlfn.LET(
       _xlpm.lookupResult, _xlfn.XLOOKUP(D27, RawDataTable[Account Name and Number], RawDataTable[Investment Amount], "MISSING VALUE"),
       IF(ISNUMBER(_xlpm.lookupResult), _xlpm.lookupResult, "INVALID VALUE")
   )
)</f>
        <v>Empty Row</v>
      </c>
      <c r="G27" s="28" t="str">
        <f t="shared" ca="1" si="0"/>
        <v>Empty Row</v>
      </c>
      <c r="H27" s="29" t="str">
        <f>IF(D27="Empty Row", "Empty Row",
   _xlfn.LET(
       _xlpm.lookupResult, _xlfn.XLOOKUP(D27, RawDataTable[Account Name and Number], RawDataTable[Valuation Amount], "MISSING VALUE"),
       IF(ISNUMBER(_xlpm.lookupResult), _xlpm.lookupResult, "INVALID VALUE")
   )
)</f>
        <v>Empty Row</v>
      </c>
      <c r="I27" s="2" t="str">
        <f>IF(D27="Empty Row", "Empty Row", IF(_xlfn.XLOOKUP(B27, MasterTable[IRA Custodian], MasterTable[Address], "")="", "NO STREET NAME FOUND", _xlfn.XLOOKUP(B27, MasterTable[IRA Custodian], MasterTable[Address], "")))</f>
        <v>Empty Row</v>
      </c>
      <c r="J27" s="2" t="str">
        <f>IF(D27="Empty Row", "Empty Row",
   IF(OR(
       _xlfn.XLOOKUP(B27, MasterTable[IRA Custodian], MasterTable[City], "")="",
       _xlfn.XLOOKUP(B27, MasterTable[IRA Custodian], MasterTable[State], "")="",
       _xlfn.XLOOKUP(B27, MasterTable[IRA Custodian], MasterTable[Zip], "")=""),
       "INCOMPLETE ADDRESS",
       _xlfn.CONCAT(
           _xlfn.XLOOKUP(B27, MasterTable[IRA Custodian], MasterTable[City], ""), ", ",
           _xlfn.XLOOKUP(B27, MasterTable[IRA Custodian], MasterTable[State], ""), " ",
           _xlfn.XLOOKUP(B27, MasterTable[IRA Custodian], MasterTable[Zip], "")
       )
   )
)</f>
        <v>Empty Row</v>
      </c>
    </row>
    <row r="28" spans="1:10" x14ac:dyDescent="0.25">
      <c r="A28" t="str">
        <f>IF(D28="Empty Row", "Empty Row",
   _xlfn.LET(
       _xlpm.lookupResult, _xlfn.XLOOKUP(D28, RawDataTable[Account Name and Number], RawDataTable[Entity], "RAW DATA MISSING"),
       IF(ISBLANK(_xlpm.lookupResult), "RAW DATA MISSING", _xlpm.lookupResult)
   )
)</f>
        <v>Empty Row</v>
      </c>
      <c r="B28" t="str">
        <f>IF(D28="Empty Row", "Empty Row",
   _xlfn.LET(
       _xlpm.rawDataLookup, _xlfn.XLOOKUP(D28,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8" s="56" t="str" cm="1">
        <f t="array" ref="C28">IF(D28="Empty Row", "Empty Row",
   IF(COUNTIF('Name Mapping'!H:AD, D28) &gt; 0,
      INDEX('Name Mapping'!F:F, MATCH(TRUE, MMULT(--('Name Mapping'!H:AD=D28), TRANSPOSE(COLUMN('Name Mapping'!H:AD)^0)) &gt; 0, 0)),
      "")
)</f>
        <v>Empty Row</v>
      </c>
      <c r="D28" t="str">
        <f>IF(RawDataTable[[#This Row],[Account Name and Number]]&lt;&gt;"", RawDataTable[[#This Row],[Account Name and Number]], "Empty Row")</f>
        <v>Empty Row</v>
      </c>
      <c r="E28" s="28" t="str">
        <f>IF(D28="Empty Row", "Empty Row",
   _xlfn.LET(
       _xlpm.lookupResult, _xlfn.XLOOKUP(D28, RawDataTable[Account Name and Number], RawDataTable[Investment Date], "MISSING VALUE"),
       IF(ISNUMBER(_xlpm.lookupResult), _xlpm.lookupResult, "INVALID VALUE")
   )
)</f>
        <v>Empty Row</v>
      </c>
      <c r="F28" s="29" t="str">
        <f>IF(D28="Empty Row", "Empty Row",
   _xlfn.LET(
       _xlpm.lookupResult, _xlfn.XLOOKUP(D28, RawDataTable[Account Name and Number], RawDataTable[Investment Amount], "MISSING VALUE"),
       IF(ISNUMBER(_xlpm.lookupResult), _xlpm.lookupResult, "INVALID VALUE")
   )
)</f>
        <v>Empty Row</v>
      </c>
      <c r="G28" s="28" t="str">
        <f t="shared" ca="1" si="0"/>
        <v>Empty Row</v>
      </c>
      <c r="H28" s="29" t="str">
        <f>IF(D28="Empty Row", "Empty Row",
   _xlfn.LET(
       _xlpm.lookupResult, _xlfn.XLOOKUP(D28, RawDataTable[Account Name and Number], RawDataTable[Valuation Amount], "MISSING VALUE"),
       IF(ISNUMBER(_xlpm.lookupResult), _xlpm.lookupResult, "INVALID VALUE")
   )
)</f>
        <v>Empty Row</v>
      </c>
      <c r="I28" s="2" t="str">
        <f>IF(D28="Empty Row", "Empty Row", IF(_xlfn.XLOOKUP(B28, MasterTable[IRA Custodian], MasterTable[Address], "")="", "NO STREET NAME FOUND", _xlfn.XLOOKUP(B28, MasterTable[IRA Custodian], MasterTable[Address], "")))</f>
        <v>Empty Row</v>
      </c>
      <c r="J28" s="2" t="str">
        <f>IF(D28="Empty Row", "Empty Row",
   IF(OR(
       _xlfn.XLOOKUP(B28, MasterTable[IRA Custodian], MasterTable[City], "")="",
       _xlfn.XLOOKUP(B28, MasterTable[IRA Custodian], MasterTable[State], "")="",
       _xlfn.XLOOKUP(B28, MasterTable[IRA Custodian], MasterTable[Zip], "")=""),
       "INCOMPLETE ADDRESS",
       _xlfn.CONCAT(
           _xlfn.XLOOKUP(B28, MasterTable[IRA Custodian], MasterTable[City], ""), ", ",
           _xlfn.XLOOKUP(B28, MasterTable[IRA Custodian], MasterTable[State], ""), " ",
           _xlfn.XLOOKUP(B28, MasterTable[IRA Custodian], MasterTable[Zip], "")
       )
   )
)</f>
        <v>Empty Row</v>
      </c>
    </row>
    <row r="29" spans="1:10" x14ac:dyDescent="0.25">
      <c r="A29" t="str">
        <f>IF(D29="Empty Row", "Empty Row",
   _xlfn.LET(
       _xlpm.lookupResult, _xlfn.XLOOKUP(D29, RawDataTable[Account Name and Number], RawDataTable[Entity], "RAW DATA MISSING"),
       IF(ISBLANK(_xlpm.lookupResult), "RAW DATA MISSING", _xlpm.lookupResult)
   )
)</f>
        <v>Empty Row</v>
      </c>
      <c r="B29" t="str">
        <f>IF(D29="Empty Row", "Empty Row",
   _xlfn.LET(
       _xlpm.rawDataLookup, _xlfn.XLOOKUP(D29,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9" s="56" t="str" cm="1">
        <f t="array" ref="C29">IF(D29="Empty Row", "Empty Row",
   IF(COUNTIF('Name Mapping'!H:AD, D29) &gt; 0,
      INDEX('Name Mapping'!F:F, MATCH(TRUE, MMULT(--('Name Mapping'!H:AD=D29), TRANSPOSE(COLUMN('Name Mapping'!H:AD)^0)) &gt; 0, 0)),
      "")
)</f>
        <v>Empty Row</v>
      </c>
      <c r="D29" t="str">
        <f>IF(RawDataTable[[#This Row],[Account Name and Number]]&lt;&gt;"", RawDataTable[[#This Row],[Account Name and Number]], "Empty Row")</f>
        <v>Empty Row</v>
      </c>
      <c r="E29" s="28" t="str">
        <f>IF(D29="Empty Row", "Empty Row",
   _xlfn.LET(
       _xlpm.lookupResult, _xlfn.XLOOKUP(D29, RawDataTable[Account Name and Number], RawDataTable[Investment Date], "MISSING VALUE"),
       IF(ISNUMBER(_xlpm.lookupResult), _xlpm.lookupResult, "INVALID VALUE")
   )
)</f>
        <v>Empty Row</v>
      </c>
      <c r="F29" s="29" t="str">
        <f>IF(D29="Empty Row", "Empty Row",
   _xlfn.LET(
       _xlpm.lookupResult, _xlfn.XLOOKUP(D29, RawDataTable[Account Name and Number], RawDataTable[Investment Amount], "MISSING VALUE"),
       IF(ISNUMBER(_xlpm.lookupResult), _xlpm.lookupResult, "INVALID VALUE")
   )
)</f>
        <v>Empty Row</v>
      </c>
      <c r="G29" s="28" t="str">
        <f t="shared" ca="1" si="0"/>
        <v>Empty Row</v>
      </c>
      <c r="H29" s="29" t="str">
        <f>IF(D29="Empty Row", "Empty Row",
   _xlfn.LET(
       _xlpm.lookupResult, _xlfn.XLOOKUP(D29, RawDataTable[Account Name and Number], RawDataTable[Valuation Amount], "MISSING VALUE"),
       IF(ISNUMBER(_xlpm.lookupResult), _xlpm.lookupResult, "INVALID VALUE")
   )
)</f>
        <v>Empty Row</v>
      </c>
      <c r="I29" s="2" t="str">
        <f>IF(D29="Empty Row", "Empty Row", IF(_xlfn.XLOOKUP(B29, MasterTable[IRA Custodian], MasterTable[Address], "")="", "NO STREET NAME FOUND", _xlfn.XLOOKUP(B29, MasterTable[IRA Custodian], MasterTable[Address], "")))</f>
        <v>Empty Row</v>
      </c>
      <c r="J29" s="2" t="str">
        <f>IF(D29="Empty Row", "Empty Row",
   IF(OR(
       _xlfn.XLOOKUP(B29, MasterTable[IRA Custodian], MasterTable[City], "")="",
       _xlfn.XLOOKUP(B29, MasterTable[IRA Custodian], MasterTable[State], "")="",
       _xlfn.XLOOKUP(B29, MasterTable[IRA Custodian], MasterTable[Zip], "")=""),
       "INCOMPLETE ADDRESS",
       _xlfn.CONCAT(
           _xlfn.XLOOKUP(B29, MasterTable[IRA Custodian], MasterTable[City], ""), ", ",
           _xlfn.XLOOKUP(B29, MasterTable[IRA Custodian], MasterTable[State], ""), " ",
           _xlfn.XLOOKUP(B29, MasterTable[IRA Custodian], MasterTable[Zip], "")
       )
   )
)</f>
        <v>Empty Row</v>
      </c>
    </row>
    <row r="30" spans="1:10" x14ac:dyDescent="0.25">
      <c r="A30" t="str">
        <f>IF(D30="Empty Row", "Empty Row",
   _xlfn.LET(
       _xlpm.lookupResult, _xlfn.XLOOKUP(D30, RawDataTable[Account Name and Number], RawDataTable[Entity], "RAW DATA MISSING"),
       IF(ISBLANK(_xlpm.lookupResult), "RAW DATA MISSING", _xlpm.lookupResult)
   )
)</f>
        <v>Empty Row</v>
      </c>
      <c r="B30" t="str">
        <f>IF(D30="Empty Row", "Empty Row",
   _xlfn.LET(
       _xlpm.rawDataLookup, _xlfn.XLOOKUP(D30,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0" s="56" t="str" cm="1">
        <f t="array" ref="C30">IF(D30="Empty Row", "Empty Row",
   IF(COUNTIF('Name Mapping'!H:AD, D30) &gt; 0,
      INDEX('Name Mapping'!F:F, MATCH(TRUE, MMULT(--('Name Mapping'!H:AD=D30), TRANSPOSE(COLUMN('Name Mapping'!H:AD)^0)) &gt; 0, 0)),
      "")
)</f>
        <v>Empty Row</v>
      </c>
      <c r="D30" t="str">
        <f>IF(RawDataTable[[#This Row],[Account Name and Number]]&lt;&gt;"", RawDataTable[[#This Row],[Account Name and Number]], "Empty Row")</f>
        <v>Empty Row</v>
      </c>
      <c r="E30" s="28" t="str">
        <f>IF(D30="Empty Row", "Empty Row",
   _xlfn.LET(
       _xlpm.lookupResult, _xlfn.XLOOKUP(D30, RawDataTable[Account Name and Number], RawDataTable[Investment Date], "MISSING VALUE"),
       IF(ISNUMBER(_xlpm.lookupResult), _xlpm.lookupResult, "INVALID VALUE")
   )
)</f>
        <v>Empty Row</v>
      </c>
      <c r="F30" s="29" t="str">
        <f>IF(D30="Empty Row", "Empty Row",
   _xlfn.LET(
       _xlpm.lookupResult, _xlfn.XLOOKUP(D30, RawDataTable[Account Name and Number], RawDataTable[Investment Amount], "MISSING VALUE"),
       IF(ISNUMBER(_xlpm.lookupResult), _xlpm.lookupResult, "INVALID VALUE")
   )
)</f>
        <v>Empty Row</v>
      </c>
      <c r="G30" s="28" t="str">
        <f t="shared" ca="1" si="0"/>
        <v>Empty Row</v>
      </c>
      <c r="H30" s="29" t="str">
        <f>IF(D30="Empty Row", "Empty Row",
   _xlfn.LET(
       _xlpm.lookupResult, _xlfn.XLOOKUP(D30, RawDataTable[Account Name and Number], RawDataTable[Valuation Amount], "MISSING VALUE"),
       IF(ISNUMBER(_xlpm.lookupResult), _xlpm.lookupResult, "INVALID VALUE")
   )
)</f>
        <v>Empty Row</v>
      </c>
      <c r="I30" s="2" t="str">
        <f>IF(D30="Empty Row", "Empty Row", IF(_xlfn.XLOOKUP(B30, MasterTable[IRA Custodian], MasterTable[Address], "")="", "NO STREET NAME FOUND", _xlfn.XLOOKUP(B30, MasterTable[IRA Custodian], MasterTable[Address], "")))</f>
        <v>Empty Row</v>
      </c>
      <c r="J30" s="2" t="str">
        <f>IF(D30="Empty Row", "Empty Row",
   IF(OR(
       _xlfn.XLOOKUP(B30, MasterTable[IRA Custodian], MasterTable[City], "")="",
       _xlfn.XLOOKUP(B30, MasterTable[IRA Custodian], MasterTable[State], "")="",
       _xlfn.XLOOKUP(B30, MasterTable[IRA Custodian], MasterTable[Zip], "")=""),
       "INCOMPLETE ADDRESS",
       _xlfn.CONCAT(
           _xlfn.XLOOKUP(B30, MasterTable[IRA Custodian], MasterTable[City], ""), ", ",
           _xlfn.XLOOKUP(B30, MasterTable[IRA Custodian], MasterTable[State], ""), " ",
           _xlfn.XLOOKUP(B30, MasterTable[IRA Custodian], MasterTable[Zip], "")
       )
   )
)</f>
        <v>Empty Row</v>
      </c>
    </row>
    <row r="31" spans="1:10" x14ac:dyDescent="0.25">
      <c r="A31" t="str">
        <f>IF(D31="Empty Row", "Empty Row",
   _xlfn.LET(
       _xlpm.lookupResult, _xlfn.XLOOKUP(D31, RawDataTable[Account Name and Number], RawDataTable[Entity], "RAW DATA MISSING"),
       IF(ISBLANK(_xlpm.lookupResult), "RAW DATA MISSING", _xlpm.lookupResult)
   )
)</f>
        <v>Empty Row</v>
      </c>
      <c r="B31" t="str">
        <f>IF(D31="Empty Row", "Empty Row",
   _xlfn.LET(
       _xlpm.rawDataLookup, _xlfn.XLOOKUP(D31,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1" s="56" t="str" cm="1">
        <f t="array" ref="C31">IF(D31="Empty Row", "Empty Row",
   IF(COUNTIF('Name Mapping'!H:AD, D31) &gt; 0,
      INDEX('Name Mapping'!F:F, MATCH(TRUE, MMULT(--('Name Mapping'!H:AD=D31), TRANSPOSE(COLUMN('Name Mapping'!H:AD)^0)) &gt; 0, 0)),
      "")
)</f>
        <v>Empty Row</v>
      </c>
      <c r="D31" t="str">
        <f>IF(RawDataTable[[#This Row],[Account Name and Number]]&lt;&gt;"", RawDataTable[[#This Row],[Account Name and Number]], "Empty Row")</f>
        <v>Empty Row</v>
      </c>
      <c r="E31" s="28" t="str">
        <f>IF(D31="Empty Row", "Empty Row",
   _xlfn.LET(
       _xlpm.lookupResult, _xlfn.XLOOKUP(D31, RawDataTable[Account Name and Number], RawDataTable[Investment Date], "MISSING VALUE"),
       IF(ISNUMBER(_xlpm.lookupResult), _xlpm.lookupResult, "INVALID VALUE")
   )
)</f>
        <v>Empty Row</v>
      </c>
      <c r="F31" s="29" t="str">
        <f>IF(D31="Empty Row", "Empty Row",
   _xlfn.LET(
       _xlpm.lookupResult, _xlfn.XLOOKUP(D31, RawDataTable[Account Name and Number], RawDataTable[Investment Amount], "MISSING VALUE"),
       IF(ISNUMBER(_xlpm.lookupResult), _xlpm.lookupResult, "INVALID VALUE")
   )
)</f>
        <v>Empty Row</v>
      </c>
      <c r="G31" s="28" t="str">
        <f t="shared" ca="1" si="0"/>
        <v>Empty Row</v>
      </c>
      <c r="H31" s="29" t="str">
        <f>IF(D31="Empty Row", "Empty Row",
   _xlfn.LET(
       _xlpm.lookupResult, _xlfn.XLOOKUP(D31, RawDataTable[Account Name and Number], RawDataTable[Valuation Amount], "MISSING VALUE"),
       IF(ISNUMBER(_xlpm.lookupResult), _xlpm.lookupResult, "INVALID VALUE")
   )
)</f>
        <v>Empty Row</v>
      </c>
      <c r="I31" s="2" t="str">
        <f>IF(D31="Empty Row", "Empty Row", IF(_xlfn.XLOOKUP(B31, MasterTable[IRA Custodian], MasterTable[Address], "")="", "NO STREET NAME FOUND", _xlfn.XLOOKUP(B31, MasterTable[IRA Custodian], MasterTable[Address], "")))</f>
        <v>Empty Row</v>
      </c>
      <c r="J31" s="2" t="str">
        <f>IF(D31="Empty Row", "Empty Row",
   IF(OR(
       _xlfn.XLOOKUP(B31, MasterTable[IRA Custodian], MasterTable[City], "")="",
       _xlfn.XLOOKUP(B31, MasterTable[IRA Custodian], MasterTable[State], "")="",
       _xlfn.XLOOKUP(B31, MasterTable[IRA Custodian], MasterTable[Zip], "")=""),
       "INCOMPLETE ADDRESS",
       _xlfn.CONCAT(
           _xlfn.XLOOKUP(B31, MasterTable[IRA Custodian], MasterTable[City], ""), ", ",
           _xlfn.XLOOKUP(B31, MasterTable[IRA Custodian], MasterTable[State], ""), " ",
           _xlfn.XLOOKUP(B31, MasterTable[IRA Custodian], MasterTable[Zip], "")
       )
   )
)</f>
        <v>Empty Row</v>
      </c>
    </row>
    <row r="32" spans="1:10" x14ac:dyDescent="0.25">
      <c r="A32" t="str">
        <f>IF(D32="Empty Row", "Empty Row",
   _xlfn.LET(
       _xlpm.lookupResult, _xlfn.XLOOKUP(D32, RawDataTable[Account Name and Number], RawDataTable[Entity], "RAW DATA MISSING"),
       IF(ISBLANK(_xlpm.lookupResult), "RAW DATA MISSING", _xlpm.lookupResult)
   )
)</f>
        <v>Empty Row</v>
      </c>
      <c r="B32" t="str">
        <f>IF(D32="Empty Row", "Empty Row",
   _xlfn.LET(
       _xlpm.rawDataLookup, _xlfn.XLOOKUP(D32,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2" s="56" t="str" cm="1">
        <f t="array" ref="C32">IF(D32="Empty Row", "Empty Row",
   IF(COUNTIF('Name Mapping'!H:AD, D32) &gt; 0,
      INDEX('Name Mapping'!F:F, MATCH(TRUE, MMULT(--('Name Mapping'!H:AD=D32), TRANSPOSE(COLUMN('Name Mapping'!H:AD)^0)) &gt; 0, 0)),
      "")
)</f>
        <v>Empty Row</v>
      </c>
      <c r="D32" t="str">
        <f>IF(RawDataTable[[#This Row],[Account Name and Number]]&lt;&gt;"", RawDataTable[[#This Row],[Account Name and Number]], "Empty Row")</f>
        <v>Empty Row</v>
      </c>
      <c r="E32" s="28" t="str">
        <f>IF(D32="Empty Row", "Empty Row",
   _xlfn.LET(
       _xlpm.lookupResult, _xlfn.XLOOKUP(D32, RawDataTable[Account Name and Number], RawDataTable[Investment Date], "MISSING VALUE"),
       IF(ISNUMBER(_xlpm.lookupResult), _xlpm.lookupResult, "INVALID VALUE")
   )
)</f>
        <v>Empty Row</v>
      </c>
      <c r="F32" s="29" t="str">
        <f>IF(D32="Empty Row", "Empty Row",
   _xlfn.LET(
       _xlpm.lookupResult, _xlfn.XLOOKUP(D32, RawDataTable[Account Name and Number], RawDataTable[Investment Amount], "MISSING VALUE"),
       IF(ISNUMBER(_xlpm.lookupResult), _xlpm.lookupResult, "INVALID VALUE")
   )
)</f>
        <v>Empty Row</v>
      </c>
      <c r="G32" s="28" t="str">
        <f t="shared" ca="1" si="0"/>
        <v>Empty Row</v>
      </c>
      <c r="H32" s="29" t="str">
        <f>IF(D32="Empty Row", "Empty Row",
   _xlfn.LET(
       _xlpm.lookupResult, _xlfn.XLOOKUP(D32, RawDataTable[Account Name and Number], RawDataTable[Valuation Amount], "MISSING VALUE"),
       IF(ISNUMBER(_xlpm.lookupResult), _xlpm.lookupResult, "INVALID VALUE")
   )
)</f>
        <v>Empty Row</v>
      </c>
      <c r="I32" s="2" t="str">
        <f>IF(D32="Empty Row", "Empty Row", IF(_xlfn.XLOOKUP(B32, MasterTable[IRA Custodian], MasterTable[Address], "")="", "NO STREET NAME FOUND", _xlfn.XLOOKUP(B32, MasterTable[IRA Custodian], MasterTable[Address], "")))</f>
        <v>Empty Row</v>
      </c>
      <c r="J32" s="2" t="str">
        <f>IF(D32="Empty Row", "Empty Row",
   IF(OR(
       _xlfn.XLOOKUP(B32, MasterTable[IRA Custodian], MasterTable[City], "")="",
       _xlfn.XLOOKUP(B32, MasterTable[IRA Custodian], MasterTable[State], "")="",
       _xlfn.XLOOKUP(B32, MasterTable[IRA Custodian], MasterTable[Zip], "")=""),
       "INCOMPLETE ADDRESS",
       _xlfn.CONCAT(
           _xlfn.XLOOKUP(B32, MasterTable[IRA Custodian], MasterTable[City], ""), ", ",
           _xlfn.XLOOKUP(B32, MasterTable[IRA Custodian], MasterTable[State], ""), " ",
           _xlfn.XLOOKUP(B32, MasterTable[IRA Custodian], MasterTable[Zip], "")
       )
   )
)</f>
        <v>Empty Row</v>
      </c>
    </row>
    <row r="33" spans="1:10" x14ac:dyDescent="0.25">
      <c r="A33" t="str">
        <f>IF(D33="Empty Row", "Empty Row",
   _xlfn.LET(
       _xlpm.lookupResult, _xlfn.XLOOKUP(D33, RawDataTable[Account Name and Number], RawDataTable[Entity], "RAW DATA MISSING"),
       IF(ISBLANK(_xlpm.lookupResult), "RAW DATA MISSING", _xlpm.lookupResult)
   )
)</f>
        <v>Empty Row</v>
      </c>
      <c r="B33" t="str">
        <f>IF(D33="Empty Row", "Empty Row",
   _xlfn.LET(
       _xlpm.rawDataLookup, _xlfn.XLOOKUP(D33,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3" s="56" t="str" cm="1">
        <f t="array" ref="C33">IF(D33="Empty Row", "Empty Row",
   IF(COUNTIF('Name Mapping'!H:AD, D33) &gt; 0,
      INDEX('Name Mapping'!F:F, MATCH(TRUE, MMULT(--('Name Mapping'!H:AD=D33), TRANSPOSE(COLUMN('Name Mapping'!H:AD)^0)) &gt; 0, 0)),
      "")
)</f>
        <v>Empty Row</v>
      </c>
      <c r="D33" t="str">
        <f>IF(RawDataTable[[#This Row],[Account Name and Number]]&lt;&gt;"", RawDataTable[[#This Row],[Account Name and Number]], "Empty Row")</f>
        <v>Empty Row</v>
      </c>
      <c r="E33" s="28" t="str">
        <f>IF(D33="Empty Row", "Empty Row",
   _xlfn.LET(
       _xlpm.lookupResult, _xlfn.XLOOKUP(D33, RawDataTable[Account Name and Number], RawDataTable[Investment Date], "MISSING VALUE"),
       IF(ISNUMBER(_xlpm.lookupResult), _xlpm.lookupResult, "INVALID VALUE")
   )
)</f>
        <v>Empty Row</v>
      </c>
      <c r="F33" s="29" t="str">
        <f>IF(D33="Empty Row", "Empty Row",
   _xlfn.LET(
       _xlpm.lookupResult, _xlfn.XLOOKUP(D33, RawDataTable[Account Name and Number], RawDataTable[Investment Amount], "MISSING VALUE"),
       IF(ISNUMBER(_xlpm.lookupResult), _xlpm.lookupResult, "INVALID VALUE")
   )
)</f>
        <v>Empty Row</v>
      </c>
      <c r="G33" s="28" t="str">
        <f t="shared" ca="1" si="0"/>
        <v>Empty Row</v>
      </c>
      <c r="H33" s="29" t="str">
        <f>IF(D33="Empty Row", "Empty Row",
   _xlfn.LET(
       _xlpm.lookupResult, _xlfn.XLOOKUP(D33, RawDataTable[Account Name and Number], RawDataTable[Valuation Amount], "MISSING VALUE"),
       IF(ISNUMBER(_xlpm.lookupResult), _xlpm.lookupResult, "INVALID VALUE")
   )
)</f>
        <v>Empty Row</v>
      </c>
      <c r="I33" s="2" t="str">
        <f>IF(D33="Empty Row", "Empty Row", IF(_xlfn.XLOOKUP(B33, MasterTable[IRA Custodian], MasterTable[Address], "")="", "NO STREET NAME FOUND", _xlfn.XLOOKUP(B33, MasterTable[IRA Custodian], MasterTable[Address], "")))</f>
        <v>Empty Row</v>
      </c>
      <c r="J33" s="2" t="str">
        <f>IF(D33="Empty Row", "Empty Row",
   IF(OR(
       _xlfn.XLOOKUP(B33, MasterTable[IRA Custodian], MasterTable[City], "")="",
       _xlfn.XLOOKUP(B33, MasterTable[IRA Custodian], MasterTable[State], "")="",
       _xlfn.XLOOKUP(B33, MasterTable[IRA Custodian], MasterTable[Zip], "")=""),
       "INCOMPLETE ADDRESS",
       _xlfn.CONCAT(
           _xlfn.XLOOKUP(B33, MasterTable[IRA Custodian], MasterTable[City], ""), ", ",
           _xlfn.XLOOKUP(B33, MasterTable[IRA Custodian], MasterTable[State], ""), " ",
           _xlfn.XLOOKUP(B33, MasterTable[IRA Custodian], MasterTable[Zip], "")
       )
   )
)</f>
        <v>Empty Row</v>
      </c>
    </row>
    <row r="34" spans="1:10" x14ac:dyDescent="0.25">
      <c r="A34" t="str">
        <f>IF(D34="Empty Row", "Empty Row",
   _xlfn.LET(
       _xlpm.lookupResult, _xlfn.XLOOKUP(D34, RawDataTable[Account Name and Number], RawDataTable[Entity], "RAW DATA MISSING"),
       IF(ISBLANK(_xlpm.lookupResult), "RAW DATA MISSING", _xlpm.lookupResult)
   )
)</f>
        <v>Empty Row</v>
      </c>
      <c r="B34" t="str">
        <f>IF(D34="Empty Row", "Empty Row",
   _xlfn.LET(
       _xlpm.rawDataLookup, _xlfn.XLOOKUP(D34,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4" s="56" t="str" cm="1">
        <f t="array" ref="C34">IF(D34="Empty Row", "Empty Row",
   IF(COUNTIF('Name Mapping'!H:AD, D34) &gt; 0,
      INDEX('Name Mapping'!F:F, MATCH(TRUE, MMULT(--('Name Mapping'!H:AD=D34), TRANSPOSE(COLUMN('Name Mapping'!H:AD)^0)) &gt; 0, 0)),
      "")
)</f>
        <v>Empty Row</v>
      </c>
      <c r="D34" t="str">
        <f>IF(RawDataTable[[#This Row],[Account Name and Number]]&lt;&gt;"", RawDataTable[[#This Row],[Account Name and Number]], "Empty Row")</f>
        <v>Empty Row</v>
      </c>
      <c r="E34" s="28" t="str">
        <f>IF(D34="Empty Row", "Empty Row",
   _xlfn.LET(
       _xlpm.lookupResult, _xlfn.XLOOKUP(D34, RawDataTable[Account Name and Number], RawDataTable[Investment Date], "MISSING VALUE"),
       IF(ISNUMBER(_xlpm.lookupResult), _xlpm.lookupResult, "INVALID VALUE")
   )
)</f>
        <v>Empty Row</v>
      </c>
      <c r="F34" s="29" t="str">
        <f>IF(D34="Empty Row", "Empty Row",
   _xlfn.LET(
       _xlpm.lookupResult, _xlfn.XLOOKUP(D34, RawDataTable[Account Name and Number], RawDataTable[Investment Amount], "MISSING VALUE"),
       IF(ISNUMBER(_xlpm.lookupResult), _xlpm.lookupResult, "INVALID VALUE")
   )
)</f>
        <v>Empty Row</v>
      </c>
      <c r="G34" s="28" t="str">
        <f t="shared" ca="1" si="0"/>
        <v>Empty Row</v>
      </c>
      <c r="H34" s="29" t="str">
        <f>IF(D34="Empty Row", "Empty Row",
   _xlfn.LET(
       _xlpm.lookupResult, _xlfn.XLOOKUP(D34, RawDataTable[Account Name and Number], RawDataTable[Valuation Amount], "MISSING VALUE"),
       IF(ISNUMBER(_xlpm.lookupResult), _xlpm.lookupResult, "INVALID VALUE")
   )
)</f>
        <v>Empty Row</v>
      </c>
      <c r="I34" s="2" t="str">
        <f>IF(D34="Empty Row", "Empty Row", IF(_xlfn.XLOOKUP(B34, MasterTable[IRA Custodian], MasterTable[Address], "")="", "NO STREET NAME FOUND", _xlfn.XLOOKUP(B34, MasterTable[IRA Custodian], MasterTable[Address], "")))</f>
        <v>Empty Row</v>
      </c>
      <c r="J34" s="2" t="str">
        <f>IF(D34="Empty Row", "Empty Row",
   IF(OR(
       _xlfn.XLOOKUP(B34, MasterTable[IRA Custodian], MasterTable[City], "")="",
       _xlfn.XLOOKUP(B34, MasterTable[IRA Custodian], MasterTable[State], "")="",
       _xlfn.XLOOKUP(B34, MasterTable[IRA Custodian], MasterTable[Zip], "")=""),
       "INCOMPLETE ADDRESS",
       _xlfn.CONCAT(
           _xlfn.XLOOKUP(B34, MasterTable[IRA Custodian], MasterTable[City], ""), ", ",
           _xlfn.XLOOKUP(B34, MasterTable[IRA Custodian], MasterTable[State], ""), " ",
           _xlfn.XLOOKUP(B34, MasterTable[IRA Custodian], MasterTable[Zip], "")
       )
   )
)</f>
        <v>Empty Row</v>
      </c>
    </row>
    <row r="35" spans="1:10" x14ac:dyDescent="0.25">
      <c r="A35" t="str">
        <f>IF(D35="Empty Row", "Empty Row",
   _xlfn.LET(
       _xlpm.lookupResult, _xlfn.XLOOKUP(D35, RawDataTable[Account Name and Number], RawDataTable[Entity], "RAW DATA MISSING"),
       IF(ISBLANK(_xlpm.lookupResult), "RAW DATA MISSING", _xlpm.lookupResult)
   )
)</f>
        <v>Empty Row</v>
      </c>
      <c r="B35" t="str">
        <f>IF(D35="Empty Row", "Empty Row",
   _xlfn.LET(
       _xlpm.rawDataLookup, _xlfn.XLOOKUP(D35,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5" s="56" t="str" cm="1">
        <f t="array" ref="C35">IF(D35="Empty Row", "Empty Row",
   IF(COUNTIF('Name Mapping'!H:AD, D35) &gt; 0,
      INDEX('Name Mapping'!F:F, MATCH(TRUE, MMULT(--('Name Mapping'!H:AD=D35), TRANSPOSE(COLUMN('Name Mapping'!H:AD)^0)) &gt; 0, 0)),
      "")
)</f>
        <v>Empty Row</v>
      </c>
      <c r="D35" t="str">
        <f>IF(RawDataTable[[#This Row],[Account Name and Number]]&lt;&gt;"", RawDataTable[[#This Row],[Account Name and Number]], "Empty Row")</f>
        <v>Empty Row</v>
      </c>
      <c r="E35" s="28" t="str">
        <f>IF(D35="Empty Row", "Empty Row",
   _xlfn.LET(
       _xlpm.lookupResult, _xlfn.XLOOKUP(D35, RawDataTable[Account Name and Number], RawDataTable[Investment Date], "MISSING VALUE"),
       IF(ISNUMBER(_xlpm.lookupResult), _xlpm.lookupResult, "INVALID VALUE")
   )
)</f>
        <v>Empty Row</v>
      </c>
      <c r="F35" s="29" t="str">
        <f>IF(D35="Empty Row", "Empty Row",
   _xlfn.LET(
       _xlpm.lookupResult, _xlfn.XLOOKUP(D35, RawDataTable[Account Name and Number], RawDataTable[Investment Amount], "MISSING VALUE"),
       IF(ISNUMBER(_xlpm.lookupResult), _xlpm.lookupResult, "INVALID VALUE")
   )
)</f>
        <v>Empty Row</v>
      </c>
      <c r="G35" s="28" t="str">
        <f t="shared" ca="1" si="0"/>
        <v>Empty Row</v>
      </c>
      <c r="H35" s="29" t="str">
        <f>IF(D35="Empty Row", "Empty Row",
   _xlfn.LET(
       _xlpm.lookupResult, _xlfn.XLOOKUP(D35, RawDataTable[Account Name and Number], RawDataTable[Valuation Amount], "MISSING VALUE"),
       IF(ISNUMBER(_xlpm.lookupResult), _xlpm.lookupResult, "INVALID VALUE")
   )
)</f>
        <v>Empty Row</v>
      </c>
      <c r="I35" s="2" t="str">
        <f>IF(D35="Empty Row", "Empty Row", IF(_xlfn.XLOOKUP(B35, MasterTable[IRA Custodian], MasterTable[Address], "")="", "NO STREET NAME FOUND", _xlfn.XLOOKUP(B35, MasterTable[IRA Custodian], MasterTable[Address], "")))</f>
        <v>Empty Row</v>
      </c>
      <c r="J35" s="2" t="str">
        <f>IF(D35="Empty Row", "Empty Row",
   IF(OR(
       _xlfn.XLOOKUP(B35, MasterTable[IRA Custodian], MasterTable[City], "")="",
       _xlfn.XLOOKUP(B35, MasterTable[IRA Custodian], MasterTable[State], "")="",
       _xlfn.XLOOKUP(B35, MasterTable[IRA Custodian], MasterTable[Zip], "")=""),
       "INCOMPLETE ADDRESS",
       _xlfn.CONCAT(
           _xlfn.XLOOKUP(B35, MasterTable[IRA Custodian], MasterTable[City], ""), ", ",
           _xlfn.XLOOKUP(B35, MasterTable[IRA Custodian], MasterTable[State], ""), " ",
           _xlfn.XLOOKUP(B35, MasterTable[IRA Custodian], MasterTable[Zip], "")
       )
   )
)</f>
        <v>Empty Row</v>
      </c>
    </row>
    <row r="36" spans="1:10" x14ac:dyDescent="0.25">
      <c r="A36" t="str">
        <f>IF(D36="Empty Row", "Empty Row",
   _xlfn.LET(
       _xlpm.lookupResult, _xlfn.XLOOKUP(D36, RawDataTable[Account Name and Number], RawDataTable[Entity], "RAW DATA MISSING"),
       IF(ISBLANK(_xlpm.lookupResult), "RAW DATA MISSING", _xlpm.lookupResult)
   )
)</f>
        <v>Empty Row</v>
      </c>
      <c r="B36" t="str">
        <f>IF(D36="Empty Row", "Empty Row",
   _xlfn.LET(
       _xlpm.rawDataLookup, _xlfn.XLOOKUP(D36,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6" s="56" t="str" cm="1">
        <f t="array" ref="C36">IF(D36="Empty Row", "Empty Row",
   IF(COUNTIF('Name Mapping'!H:AD, D36) &gt; 0,
      INDEX('Name Mapping'!F:F, MATCH(TRUE, MMULT(--('Name Mapping'!H:AD=D36), TRANSPOSE(COLUMN('Name Mapping'!H:AD)^0)) &gt; 0, 0)),
      "")
)</f>
        <v>Empty Row</v>
      </c>
      <c r="D36" t="str">
        <f>IF(RawDataTable[[#This Row],[Account Name and Number]]&lt;&gt;"", RawDataTable[[#This Row],[Account Name and Number]], "Empty Row")</f>
        <v>Empty Row</v>
      </c>
      <c r="E36" s="28" t="str">
        <f>IF(D36="Empty Row", "Empty Row",
   _xlfn.LET(
       _xlpm.lookupResult, _xlfn.XLOOKUP(D36, RawDataTable[Account Name and Number], RawDataTable[Investment Date], "MISSING VALUE"),
       IF(ISNUMBER(_xlpm.lookupResult), _xlpm.lookupResult, "INVALID VALUE")
   )
)</f>
        <v>Empty Row</v>
      </c>
      <c r="F36" s="29" t="str">
        <f>IF(D36="Empty Row", "Empty Row",
   _xlfn.LET(
       _xlpm.lookupResult, _xlfn.XLOOKUP(D36, RawDataTable[Account Name and Number], RawDataTable[Investment Amount], "MISSING VALUE"),
       IF(ISNUMBER(_xlpm.lookupResult), _xlpm.lookupResult, "INVALID VALUE")
   )
)</f>
        <v>Empty Row</v>
      </c>
      <c r="G36" s="28" t="str">
        <f t="shared" ca="1" si="0"/>
        <v>Empty Row</v>
      </c>
      <c r="H36" s="29" t="str">
        <f>IF(D36="Empty Row", "Empty Row",
   _xlfn.LET(
       _xlpm.lookupResult, _xlfn.XLOOKUP(D36, RawDataTable[Account Name and Number], RawDataTable[Valuation Amount], "MISSING VALUE"),
       IF(ISNUMBER(_xlpm.lookupResult), _xlpm.lookupResult, "INVALID VALUE")
   )
)</f>
        <v>Empty Row</v>
      </c>
      <c r="I36" s="2" t="str">
        <f>IF(D36="Empty Row", "Empty Row", IF(_xlfn.XLOOKUP(B36, MasterTable[IRA Custodian], MasterTable[Address], "")="", "NO STREET NAME FOUND", _xlfn.XLOOKUP(B36, MasterTable[IRA Custodian], MasterTable[Address], "")))</f>
        <v>Empty Row</v>
      </c>
      <c r="J36" s="2" t="str">
        <f>IF(D36="Empty Row", "Empty Row",
   IF(OR(
       _xlfn.XLOOKUP(B36, MasterTable[IRA Custodian], MasterTable[City], "")="",
       _xlfn.XLOOKUP(B36, MasterTable[IRA Custodian], MasterTable[State], "")="",
       _xlfn.XLOOKUP(B36, MasterTable[IRA Custodian], MasterTable[Zip], "")=""),
       "INCOMPLETE ADDRESS",
       _xlfn.CONCAT(
           _xlfn.XLOOKUP(B36, MasterTable[IRA Custodian], MasterTable[City], ""), ", ",
           _xlfn.XLOOKUP(B36, MasterTable[IRA Custodian], MasterTable[State], ""), " ",
           _xlfn.XLOOKUP(B36, MasterTable[IRA Custodian], MasterTable[Zip], "")
       )
   )
)</f>
        <v>Empty Row</v>
      </c>
    </row>
    <row r="37" spans="1:10" x14ac:dyDescent="0.25">
      <c r="A37" t="str">
        <f>IF(D37="Empty Row", "Empty Row",
   _xlfn.LET(
       _xlpm.lookupResult, _xlfn.XLOOKUP(D37, RawDataTable[Account Name and Number], RawDataTable[Entity], "RAW DATA MISSING"),
       IF(ISBLANK(_xlpm.lookupResult), "RAW DATA MISSING", _xlpm.lookupResult)
   )
)</f>
        <v>Empty Row</v>
      </c>
      <c r="B37" t="str">
        <f>IF(D37="Empty Row", "Empty Row",
   _xlfn.LET(
       _xlpm.rawDataLookup, _xlfn.XLOOKUP(D37,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7" s="56" t="str" cm="1">
        <f t="array" ref="C37">IF(D37="Empty Row", "Empty Row",
   IF(COUNTIF('Name Mapping'!H:AD, D37) &gt; 0,
      INDEX('Name Mapping'!F:F, MATCH(TRUE, MMULT(--('Name Mapping'!H:AD=D37), TRANSPOSE(COLUMN('Name Mapping'!H:AD)^0)) &gt; 0, 0)),
      "")
)</f>
        <v>Empty Row</v>
      </c>
      <c r="D37" t="str">
        <f>IF(RawDataTable[[#This Row],[Account Name and Number]]&lt;&gt;"", RawDataTable[[#This Row],[Account Name and Number]], "Empty Row")</f>
        <v>Empty Row</v>
      </c>
      <c r="E37" s="28" t="str">
        <f>IF(D37="Empty Row", "Empty Row",
   _xlfn.LET(
       _xlpm.lookupResult, _xlfn.XLOOKUP(D37, RawDataTable[Account Name and Number], RawDataTable[Investment Date], "MISSING VALUE"),
       IF(ISNUMBER(_xlpm.lookupResult), _xlpm.lookupResult, "INVALID VALUE")
   )
)</f>
        <v>Empty Row</v>
      </c>
      <c r="F37" s="29" t="str">
        <f>IF(D37="Empty Row", "Empty Row",
   _xlfn.LET(
       _xlpm.lookupResult, _xlfn.XLOOKUP(D37, RawDataTable[Account Name and Number], RawDataTable[Investment Amount], "MISSING VALUE"),
       IF(ISNUMBER(_xlpm.lookupResult), _xlpm.lookupResult, "INVALID VALUE")
   )
)</f>
        <v>Empty Row</v>
      </c>
      <c r="G37" s="28" t="str">
        <f t="shared" ca="1" si="0"/>
        <v>Empty Row</v>
      </c>
      <c r="H37" s="29" t="str">
        <f>IF(D37="Empty Row", "Empty Row",
   _xlfn.LET(
       _xlpm.lookupResult, _xlfn.XLOOKUP(D37, RawDataTable[Account Name and Number], RawDataTable[Valuation Amount], "MISSING VALUE"),
       IF(ISNUMBER(_xlpm.lookupResult), _xlpm.lookupResult, "INVALID VALUE")
   )
)</f>
        <v>Empty Row</v>
      </c>
      <c r="I37" s="2" t="str">
        <f>IF(D37="Empty Row", "Empty Row", IF(_xlfn.XLOOKUP(B37, MasterTable[IRA Custodian], MasterTable[Address], "")="", "NO STREET NAME FOUND", _xlfn.XLOOKUP(B37, MasterTable[IRA Custodian], MasterTable[Address], "")))</f>
        <v>Empty Row</v>
      </c>
      <c r="J37" s="2" t="str">
        <f>IF(D37="Empty Row", "Empty Row",
   IF(OR(
       _xlfn.XLOOKUP(B37, MasterTable[IRA Custodian], MasterTable[City], "")="",
       _xlfn.XLOOKUP(B37, MasterTable[IRA Custodian], MasterTable[State], "")="",
       _xlfn.XLOOKUP(B37, MasterTable[IRA Custodian], MasterTable[Zip], "")=""),
       "INCOMPLETE ADDRESS",
       _xlfn.CONCAT(
           _xlfn.XLOOKUP(B37, MasterTable[IRA Custodian], MasterTable[City], ""), ", ",
           _xlfn.XLOOKUP(B37, MasterTable[IRA Custodian], MasterTable[State], ""), " ",
           _xlfn.XLOOKUP(B37, MasterTable[IRA Custodian], MasterTable[Zip], "")
       )
   )
)</f>
        <v>Empty Row</v>
      </c>
    </row>
    <row r="38" spans="1:10" x14ac:dyDescent="0.25">
      <c r="A38" t="str">
        <f>IF(D38="Empty Row", "Empty Row",
   _xlfn.LET(
       _xlpm.lookupResult, _xlfn.XLOOKUP(D38, RawDataTable[Account Name and Number], RawDataTable[Entity], "RAW DATA MISSING"),
       IF(ISBLANK(_xlpm.lookupResult), "RAW DATA MISSING", _xlpm.lookupResult)
   )
)</f>
        <v>Empty Row</v>
      </c>
      <c r="B38" t="str">
        <f>IF(D38="Empty Row", "Empty Row",
   _xlfn.LET(
       _xlpm.rawDataLookup, _xlfn.XLOOKUP(D38,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8" s="56" t="str" cm="1">
        <f t="array" ref="C38">IF(D38="Empty Row", "Empty Row",
   IF(COUNTIF('Name Mapping'!H:AD, D38) &gt; 0,
      INDEX('Name Mapping'!F:F, MATCH(TRUE, MMULT(--('Name Mapping'!H:AD=D38), TRANSPOSE(COLUMN('Name Mapping'!H:AD)^0)) &gt; 0, 0)),
      "")
)</f>
        <v>Empty Row</v>
      </c>
      <c r="D38" t="str">
        <f>IF(RawDataTable[[#This Row],[Account Name and Number]]&lt;&gt;"", RawDataTable[[#This Row],[Account Name and Number]], "Empty Row")</f>
        <v>Empty Row</v>
      </c>
      <c r="E38" s="28" t="str">
        <f>IF(D38="Empty Row", "Empty Row",
   _xlfn.LET(
       _xlpm.lookupResult, _xlfn.XLOOKUP(D38, RawDataTable[Account Name and Number], RawDataTable[Investment Date], "MISSING VALUE"),
       IF(ISNUMBER(_xlpm.lookupResult), _xlpm.lookupResult, "INVALID VALUE")
   )
)</f>
        <v>Empty Row</v>
      </c>
      <c r="F38" s="29" t="str">
        <f>IF(D38="Empty Row", "Empty Row",
   _xlfn.LET(
       _xlpm.lookupResult, _xlfn.XLOOKUP(D38, RawDataTable[Account Name and Number], RawDataTable[Investment Amount], "MISSING VALUE"),
       IF(ISNUMBER(_xlpm.lookupResult), _xlpm.lookupResult, "INVALID VALUE")
   )
)</f>
        <v>Empty Row</v>
      </c>
      <c r="G38" s="28" t="str">
        <f t="shared" ca="1" si="0"/>
        <v>Empty Row</v>
      </c>
      <c r="H38" s="29" t="str">
        <f>IF(D38="Empty Row", "Empty Row",
   _xlfn.LET(
       _xlpm.lookupResult, _xlfn.XLOOKUP(D38, RawDataTable[Account Name and Number], RawDataTable[Valuation Amount], "MISSING VALUE"),
       IF(ISNUMBER(_xlpm.lookupResult), _xlpm.lookupResult, "INVALID VALUE")
   )
)</f>
        <v>Empty Row</v>
      </c>
      <c r="I38" s="2" t="str">
        <f>IF(D38="Empty Row", "Empty Row", IF(_xlfn.XLOOKUP(B38, MasterTable[IRA Custodian], MasterTable[Address], "")="", "NO STREET NAME FOUND", _xlfn.XLOOKUP(B38, MasterTable[IRA Custodian], MasterTable[Address], "")))</f>
        <v>Empty Row</v>
      </c>
      <c r="J38" s="2" t="str">
        <f>IF(D38="Empty Row", "Empty Row",
   IF(OR(
       _xlfn.XLOOKUP(B38, MasterTable[IRA Custodian], MasterTable[City], "")="",
       _xlfn.XLOOKUP(B38, MasterTable[IRA Custodian], MasterTable[State], "")="",
       _xlfn.XLOOKUP(B38, MasterTable[IRA Custodian], MasterTable[Zip], "")=""),
       "INCOMPLETE ADDRESS",
       _xlfn.CONCAT(
           _xlfn.XLOOKUP(B38, MasterTable[IRA Custodian], MasterTable[City], ""), ", ",
           _xlfn.XLOOKUP(B38, MasterTable[IRA Custodian], MasterTable[State], ""), " ",
           _xlfn.XLOOKUP(B38, MasterTable[IRA Custodian], MasterTable[Zip], "")
       )
   )
)</f>
        <v>Empty Row</v>
      </c>
    </row>
    <row r="39" spans="1:10" x14ac:dyDescent="0.25">
      <c r="A39" t="str">
        <f>IF(D39="Empty Row", "Empty Row",
   _xlfn.LET(
       _xlpm.lookupResult, _xlfn.XLOOKUP(D39, RawDataTable[Account Name and Number], RawDataTable[Entity], "RAW DATA MISSING"),
       IF(ISBLANK(_xlpm.lookupResult), "RAW DATA MISSING", _xlpm.lookupResult)
   )
)</f>
        <v>Empty Row</v>
      </c>
      <c r="B39" t="str">
        <f>IF(D39="Empty Row", "Empty Row",
   _xlfn.LET(
       _xlpm.rawDataLookup, _xlfn.XLOOKUP(D39,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9" s="56" t="str" cm="1">
        <f t="array" ref="C39">IF(D39="Empty Row", "Empty Row",
   IF(COUNTIF('Name Mapping'!H:AD, D39) &gt; 0,
      INDEX('Name Mapping'!F:F, MATCH(TRUE, MMULT(--('Name Mapping'!H:AD=D39), TRANSPOSE(COLUMN('Name Mapping'!H:AD)^0)) &gt; 0, 0)),
      "")
)</f>
        <v>Empty Row</v>
      </c>
      <c r="D39" t="str">
        <f>IF(RawDataTable[[#This Row],[Account Name and Number]]&lt;&gt;"", RawDataTable[[#This Row],[Account Name and Number]], "Empty Row")</f>
        <v>Empty Row</v>
      </c>
      <c r="E39" s="28" t="str">
        <f>IF(D39="Empty Row", "Empty Row",
   _xlfn.LET(
       _xlpm.lookupResult, _xlfn.XLOOKUP(D39, RawDataTable[Account Name and Number], RawDataTable[Investment Date], "MISSING VALUE"),
       IF(ISNUMBER(_xlpm.lookupResult), _xlpm.lookupResult, "INVALID VALUE")
   )
)</f>
        <v>Empty Row</v>
      </c>
      <c r="F39" s="29" t="str">
        <f>IF(D39="Empty Row", "Empty Row",
   _xlfn.LET(
       _xlpm.lookupResult, _xlfn.XLOOKUP(D39, RawDataTable[Account Name and Number], RawDataTable[Investment Amount], "MISSING VALUE"),
       IF(ISNUMBER(_xlpm.lookupResult), _xlpm.lookupResult, "INVALID VALUE")
   )
)</f>
        <v>Empty Row</v>
      </c>
      <c r="G39" s="28" t="str">
        <f t="shared" ca="1" si="0"/>
        <v>Empty Row</v>
      </c>
      <c r="H39" s="29" t="str">
        <f>IF(D39="Empty Row", "Empty Row",
   _xlfn.LET(
       _xlpm.lookupResult, _xlfn.XLOOKUP(D39, RawDataTable[Account Name and Number], RawDataTable[Valuation Amount], "MISSING VALUE"),
       IF(ISNUMBER(_xlpm.lookupResult), _xlpm.lookupResult, "INVALID VALUE")
   )
)</f>
        <v>Empty Row</v>
      </c>
      <c r="I39" s="2" t="str">
        <f>IF(D39="Empty Row", "Empty Row", IF(_xlfn.XLOOKUP(B39, MasterTable[IRA Custodian], MasterTable[Address], "")="", "NO STREET NAME FOUND", _xlfn.XLOOKUP(B39, MasterTable[IRA Custodian], MasterTable[Address], "")))</f>
        <v>Empty Row</v>
      </c>
      <c r="J39" s="2" t="str">
        <f>IF(D39="Empty Row", "Empty Row",
   IF(OR(
       _xlfn.XLOOKUP(B39, MasterTable[IRA Custodian], MasterTable[City], "")="",
       _xlfn.XLOOKUP(B39, MasterTable[IRA Custodian], MasterTable[State], "")="",
       _xlfn.XLOOKUP(B39, MasterTable[IRA Custodian], MasterTable[Zip], "")=""),
       "INCOMPLETE ADDRESS",
       _xlfn.CONCAT(
           _xlfn.XLOOKUP(B39, MasterTable[IRA Custodian], MasterTable[City], ""), ", ",
           _xlfn.XLOOKUP(B39, MasterTable[IRA Custodian], MasterTable[State], ""), " ",
           _xlfn.XLOOKUP(B39, MasterTable[IRA Custodian], MasterTable[Zip], "")
       )
   )
)</f>
        <v>Empty Row</v>
      </c>
    </row>
    <row r="40" spans="1:10" x14ac:dyDescent="0.25">
      <c r="A40" t="str">
        <f>IF(D40="Empty Row", "Empty Row",
   _xlfn.LET(
       _xlpm.lookupResult, _xlfn.XLOOKUP(D40, RawDataTable[Account Name and Number], RawDataTable[Entity], "RAW DATA MISSING"),
       IF(ISBLANK(_xlpm.lookupResult), "RAW DATA MISSING", _xlpm.lookupResult)
   )
)</f>
        <v>Empty Row</v>
      </c>
      <c r="B40" t="str">
        <f>IF(D40="Empty Row", "Empty Row",
   _xlfn.LET(
       _xlpm.rawDataLookup, _xlfn.XLOOKUP(D40,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0" s="56" t="str" cm="1">
        <f t="array" ref="C40">IF(D40="Empty Row", "Empty Row",
   IF(COUNTIF('Name Mapping'!H:AD, D40) &gt; 0,
      INDEX('Name Mapping'!F:F, MATCH(TRUE, MMULT(--('Name Mapping'!H:AD=D40), TRANSPOSE(COLUMN('Name Mapping'!H:AD)^0)) &gt; 0, 0)),
      "")
)</f>
        <v>Empty Row</v>
      </c>
      <c r="D40" t="str">
        <f>IF(RawDataTable[[#This Row],[Account Name and Number]]&lt;&gt;"", RawDataTable[[#This Row],[Account Name and Number]], "Empty Row")</f>
        <v>Empty Row</v>
      </c>
      <c r="E40" s="28" t="str">
        <f>IF(D40="Empty Row", "Empty Row",
   _xlfn.LET(
       _xlpm.lookupResult, _xlfn.XLOOKUP(D40, RawDataTable[Account Name and Number], RawDataTable[Investment Date], "MISSING VALUE"),
       IF(ISNUMBER(_xlpm.lookupResult), _xlpm.lookupResult, "INVALID VALUE")
   )
)</f>
        <v>Empty Row</v>
      </c>
      <c r="F40" s="29" t="str">
        <f>IF(D40="Empty Row", "Empty Row",
   _xlfn.LET(
       _xlpm.lookupResult, _xlfn.XLOOKUP(D40, RawDataTable[Account Name and Number], RawDataTable[Investment Amount], "MISSING VALUE"),
       IF(ISNUMBER(_xlpm.lookupResult), _xlpm.lookupResult, "INVALID VALUE")
   )
)</f>
        <v>Empty Row</v>
      </c>
      <c r="G40" s="28" t="str">
        <f t="shared" ca="1" si="0"/>
        <v>Empty Row</v>
      </c>
      <c r="H40" s="29" t="str">
        <f>IF(D40="Empty Row", "Empty Row",
   _xlfn.LET(
       _xlpm.lookupResult, _xlfn.XLOOKUP(D40, RawDataTable[Account Name and Number], RawDataTable[Valuation Amount], "MISSING VALUE"),
       IF(ISNUMBER(_xlpm.lookupResult), _xlpm.lookupResult, "INVALID VALUE")
   )
)</f>
        <v>Empty Row</v>
      </c>
      <c r="I40" s="2" t="str">
        <f>IF(D40="Empty Row", "Empty Row", IF(_xlfn.XLOOKUP(B40, MasterTable[IRA Custodian], MasterTable[Address], "")="", "NO STREET NAME FOUND", _xlfn.XLOOKUP(B40, MasterTable[IRA Custodian], MasterTable[Address], "")))</f>
        <v>Empty Row</v>
      </c>
      <c r="J40" s="2" t="str">
        <f>IF(D40="Empty Row", "Empty Row",
   IF(OR(
       _xlfn.XLOOKUP(B40, MasterTable[IRA Custodian], MasterTable[City], "")="",
       _xlfn.XLOOKUP(B40, MasterTable[IRA Custodian], MasterTable[State], "")="",
       _xlfn.XLOOKUP(B40, MasterTable[IRA Custodian], MasterTable[Zip], "")=""),
       "INCOMPLETE ADDRESS",
       _xlfn.CONCAT(
           _xlfn.XLOOKUP(B40, MasterTable[IRA Custodian], MasterTable[City], ""), ", ",
           _xlfn.XLOOKUP(B40, MasterTable[IRA Custodian], MasterTable[State], ""), " ",
           _xlfn.XLOOKUP(B40, MasterTable[IRA Custodian], MasterTable[Zip], "")
       )
   )
)</f>
        <v>Empty Row</v>
      </c>
    </row>
    <row r="41" spans="1:10" x14ac:dyDescent="0.25">
      <c r="A41" t="str">
        <f>IF(D41="Empty Row", "Empty Row",
   _xlfn.LET(
       _xlpm.lookupResult, _xlfn.XLOOKUP(D41, RawDataTable[Account Name and Number], RawDataTable[Entity], "RAW DATA MISSING"),
       IF(ISBLANK(_xlpm.lookupResult), "RAW DATA MISSING", _xlpm.lookupResult)
   )
)</f>
        <v>Empty Row</v>
      </c>
      <c r="B41" t="str">
        <f>IF(D41="Empty Row", "Empty Row",
   _xlfn.LET(
       _xlpm.rawDataLookup, _xlfn.XLOOKUP(D41,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1" s="56" t="str" cm="1">
        <f t="array" ref="C41">IF(D41="Empty Row", "Empty Row",
   IF(COUNTIF('Name Mapping'!H:AD, D41) &gt; 0,
      INDEX('Name Mapping'!F:F, MATCH(TRUE, MMULT(--('Name Mapping'!H:AD=D41), TRANSPOSE(COLUMN('Name Mapping'!H:AD)^0)) &gt; 0, 0)),
      "")
)</f>
        <v>Empty Row</v>
      </c>
      <c r="D41" t="str">
        <f>IF(RawDataTable[[#This Row],[Account Name and Number]]&lt;&gt;"", RawDataTable[[#This Row],[Account Name and Number]], "Empty Row")</f>
        <v>Empty Row</v>
      </c>
      <c r="E41" s="28" t="str">
        <f>IF(D41="Empty Row", "Empty Row",
   _xlfn.LET(
       _xlpm.lookupResult, _xlfn.XLOOKUP(D41, RawDataTable[Account Name and Number], RawDataTable[Investment Date], "MISSING VALUE"),
       IF(ISNUMBER(_xlpm.lookupResult), _xlpm.lookupResult, "INVALID VALUE")
   )
)</f>
        <v>Empty Row</v>
      </c>
      <c r="F41" s="29" t="str">
        <f>IF(D41="Empty Row", "Empty Row",
   _xlfn.LET(
       _xlpm.lookupResult, _xlfn.XLOOKUP(D41, RawDataTable[Account Name and Number], RawDataTable[Investment Amount], "MISSING VALUE"),
       IF(ISNUMBER(_xlpm.lookupResult), _xlpm.lookupResult, "INVALID VALUE")
   )
)</f>
        <v>Empty Row</v>
      </c>
      <c r="G41" s="28" t="str">
        <f t="shared" ca="1" si="0"/>
        <v>Empty Row</v>
      </c>
      <c r="H41" s="29" t="str">
        <f>IF(D41="Empty Row", "Empty Row",
   _xlfn.LET(
       _xlpm.lookupResult, _xlfn.XLOOKUP(D41, RawDataTable[Account Name and Number], RawDataTable[Valuation Amount], "MISSING VALUE"),
       IF(ISNUMBER(_xlpm.lookupResult), _xlpm.lookupResult, "INVALID VALUE")
   )
)</f>
        <v>Empty Row</v>
      </c>
      <c r="I41" s="2" t="str">
        <f>IF(D41="Empty Row", "Empty Row", IF(_xlfn.XLOOKUP(B41, MasterTable[IRA Custodian], MasterTable[Address], "")="", "NO STREET NAME FOUND", _xlfn.XLOOKUP(B41, MasterTable[IRA Custodian], MasterTable[Address], "")))</f>
        <v>Empty Row</v>
      </c>
      <c r="J41" s="2" t="str">
        <f>IF(D41="Empty Row", "Empty Row",
   IF(OR(
       _xlfn.XLOOKUP(B41, MasterTable[IRA Custodian], MasterTable[City], "")="",
       _xlfn.XLOOKUP(B41, MasterTable[IRA Custodian], MasterTable[State], "")="",
       _xlfn.XLOOKUP(B41, MasterTable[IRA Custodian], MasterTable[Zip], "")=""),
       "INCOMPLETE ADDRESS",
       _xlfn.CONCAT(
           _xlfn.XLOOKUP(B41, MasterTable[IRA Custodian], MasterTable[City], ""), ", ",
           _xlfn.XLOOKUP(B41, MasterTable[IRA Custodian], MasterTable[State], ""), " ",
           _xlfn.XLOOKUP(B41, MasterTable[IRA Custodian], MasterTable[Zip], "")
       )
   )
)</f>
        <v>Empty Row</v>
      </c>
    </row>
    <row r="42" spans="1:10" x14ac:dyDescent="0.25">
      <c r="A42" t="str">
        <f>IF(D42="Empty Row", "Empty Row",
   _xlfn.LET(
       _xlpm.lookupResult, _xlfn.XLOOKUP(D42, RawDataTable[Account Name and Number], RawDataTable[Entity], "RAW DATA MISSING"),
       IF(ISBLANK(_xlpm.lookupResult), "RAW DATA MISSING", _xlpm.lookupResult)
   )
)</f>
        <v>Empty Row</v>
      </c>
      <c r="B42" t="str">
        <f>IF(D42="Empty Row", "Empty Row",
   _xlfn.LET(
       _xlpm.rawDataLookup, _xlfn.XLOOKUP(D42,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2" s="56" t="str" cm="1">
        <f t="array" ref="C42">IF(D42="Empty Row", "Empty Row",
   IF(COUNTIF('Name Mapping'!H:AD, D42) &gt; 0,
      INDEX('Name Mapping'!F:F, MATCH(TRUE, MMULT(--('Name Mapping'!H:AD=D42), TRANSPOSE(COLUMN('Name Mapping'!H:AD)^0)) &gt; 0, 0)),
      "")
)</f>
        <v>Empty Row</v>
      </c>
      <c r="D42" t="str">
        <f>IF(RawDataTable[[#This Row],[Account Name and Number]]&lt;&gt;"", RawDataTable[[#This Row],[Account Name and Number]], "Empty Row")</f>
        <v>Empty Row</v>
      </c>
      <c r="E42" s="28" t="str">
        <f>IF(D42="Empty Row", "Empty Row",
   _xlfn.LET(
       _xlpm.lookupResult, _xlfn.XLOOKUP(D42, RawDataTable[Account Name and Number], RawDataTable[Investment Date], "MISSING VALUE"),
       IF(ISNUMBER(_xlpm.lookupResult), _xlpm.lookupResult, "INVALID VALUE")
   )
)</f>
        <v>Empty Row</v>
      </c>
      <c r="F42" s="29" t="str">
        <f>IF(D42="Empty Row", "Empty Row",
   _xlfn.LET(
       _xlpm.lookupResult, _xlfn.XLOOKUP(D42, RawDataTable[Account Name and Number], RawDataTable[Investment Amount], "MISSING VALUE"),
       IF(ISNUMBER(_xlpm.lookupResult), _xlpm.lookupResult, "INVALID VALUE")
   )
)</f>
        <v>Empty Row</v>
      </c>
      <c r="G42" s="28" t="str">
        <f t="shared" ca="1" si="0"/>
        <v>Empty Row</v>
      </c>
      <c r="H42" s="29" t="str">
        <f>IF(D42="Empty Row", "Empty Row",
   _xlfn.LET(
       _xlpm.lookupResult, _xlfn.XLOOKUP(D42, RawDataTable[Account Name and Number], RawDataTable[Valuation Amount], "MISSING VALUE"),
       IF(ISNUMBER(_xlpm.lookupResult), _xlpm.lookupResult, "INVALID VALUE")
   )
)</f>
        <v>Empty Row</v>
      </c>
      <c r="I42" s="2" t="str">
        <f>IF(D42="Empty Row", "Empty Row", IF(_xlfn.XLOOKUP(B42, MasterTable[IRA Custodian], MasterTable[Address], "")="", "NO STREET NAME FOUND", _xlfn.XLOOKUP(B42, MasterTable[IRA Custodian], MasterTable[Address], "")))</f>
        <v>Empty Row</v>
      </c>
      <c r="J42" s="2" t="str">
        <f>IF(D42="Empty Row", "Empty Row",
   IF(OR(
       _xlfn.XLOOKUP(B42, MasterTable[IRA Custodian], MasterTable[City], "")="",
       _xlfn.XLOOKUP(B42, MasterTable[IRA Custodian], MasterTable[State], "")="",
       _xlfn.XLOOKUP(B42, MasterTable[IRA Custodian], MasterTable[Zip], "")=""),
       "INCOMPLETE ADDRESS",
       _xlfn.CONCAT(
           _xlfn.XLOOKUP(B42, MasterTable[IRA Custodian], MasterTable[City], ""), ", ",
           _xlfn.XLOOKUP(B42, MasterTable[IRA Custodian], MasterTable[State], ""), " ",
           _xlfn.XLOOKUP(B42, MasterTable[IRA Custodian], MasterTable[Zip], "")
       )
   )
)</f>
        <v>Empty Row</v>
      </c>
    </row>
    <row r="43" spans="1:10" x14ac:dyDescent="0.25">
      <c r="A43" t="str">
        <f>IF(D43="Empty Row", "Empty Row",
   _xlfn.LET(
       _xlpm.lookupResult, _xlfn.XLOOKUP(D43, RawDataTable[Account Name and Number], RawDataTable[Entity], "RAW DATA MISSING"),
       IF(ISBLANK(_xlpm.lookupResult), "RAW DATA MISSING", _xlpm.lookupResult)
   )
)</f>
        <v>Empty Row</v>
      </c>
      <c r="B43" t="str">
        <f>IF(D43="Empty Row", "Empty Row",
   _xlfn.LET(
       _xlpm.rawDataLookup, _xlfn.XLOOKUP(D43,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3" s="56" t="str" cm="1">
        <f t="array" ref="C43">IF(D43="Empty Row", "Empty Row",
   IF(COUNTIF('Name Mapping'!H:AD, D43) &gt; 0,
      INDEX('Name Mapping'!F:F, MATCH(TRUE, MMULT(--('Name Mapping'!H:AD=D43), TRANSPOSE(COLUMN('Name Mapping'!H:AD)^0)) &gt; 0, 0)),
      "")
)</f>
        <v>Empty Row</v>
      </c>
      <c r="D43" t="str">
        <f>IF(RawDataTable[[#This Row],[Account Name and Number]]&lt;&gt;"", RawDataTable[[#This Row],[Account Name and Number]], "Empty Row")</f>
        <v>Empty Row</v>
      </c>
      <c r="E43" s="28" t="str">
        <f>IF(D43="Empty Row", "Empty Row",
   _xlfn.LET(
       _xlpm.lookupResult, _xlfn.XLOOKUP(D43, RawDataTable[Account Name and Number], RawDataTable[Investment Date], "MISSING VALUE"),
       IF(ISNUMBER(_xlpm.lookupResult), _xlpm.lookupResult, "INVALID VALUE")
   )
)</f>
        <v>Empty Row</v>
      </c>
      <c r="F43" s="29" t="str">
        <f>IF(D43="Empty Row", "Empty Row",
   _xlfn.LET(
       _xlpm.lookupResult, _xlfn.XLOOKUP(D43, RawDataTable[Account Name and Number], RawDataTable[Investment Amount], "MISSING VALUE"),
       IF(ISNUMBER(_xlpm.lookupResult), _xlpm.lookupResult, "INVALID VALUE")
   )
)</f>
        <v>Empty Row</v>
      </c>
      <c r="G43" s="28" t="str">
        <f t="shared" ca="1" si="0"/>
        <v>Empty Row</v>
      </c>
      <c r="H43" s="29" t="str">
        <f>IF(D43="Empty Row", "Empty Row",
   _xlfn.LET(
       _xlpm.lookupResult, _xlfn.XLOOKUP(D43, RawDataTable[Account Name and Number], RawDataTable[Valuation Amount], "MISSING VALUE"),
       IF(ISNUMBER(_xlpm.lookupResult), _xlpm.lookupResult, "INVALID VALUE")
   )
)</f>
        <v>Empty Row</v>
      </c>
      <c r="I43" s="2" t="str">
        <f>IF(D43="Empty Row", "Empty Row", IF(_xlfn.XLOOKUP(B43, MasterTable[IRA Custodian], MasterTable[Address], "")="", "NO STREET NAME FOUND", _xlfn.XLOOKUP(B43, MasterTable[IRA Custodian], MasterTable[Address], "")))</f>
        <v>Empty Row</v>
      </c>
      <c r="J43" s="2" t="str">
        <f>IF(D43="Empty Row", "Empty Row",
   IF(OR(
       _xlfn.XLOOKUP(B43, MasterTable[IRA Custodian], MasterTable[City], "")="",
       _xlfn.XLOOKUP(B43, MasterTable[IRA Custodian], MasterTable[State], "")="",
       _xlfn.XLOOKUP(B43, MasterTable[IRA Custodian], MasterTable[Zip], "")=""),
       "INCOMPLETE ADDRESS",
       _xlfn.CONCAT(
           _xlfn.XLOOKUP(B43, MasterTable[IRA Custodian], MasterTable[City], ""), ", ",
           _xlfn.XLOOKUP(B43, MasterTable[IRA Custodian], MasterTable[State], ""), " ",
           _xlfn.XLOOKUP(B43, MasterTable[IRA Custodian], MasterTable[Zip], "")
       )
   )
)</f>
        <v>Empty Row</v>
      </c>
    </row>
    <row r="44" spans="1:10" x14ac:dyDescent="0.25">
      <c r="A44" t="str">
        <f>IF(D44="Empty Row", "Empty Row",
   _xlfn.LET(
       _xlpm.lookupResult, _xlfn.XLOOKUP(D44, RawDataTable[Account Name and Number], RawDataTable[Entity], "RAW DATA MISSING"),
       IF(ISBLANK(_xlpm.lookupResult), "RAW DATA MISSING", _xlpm.lookupResult)
   )
)</f>
        <v>Empty Row</v>
      </c>
      <c r="B44" t="str">
        <f>IF(D44="Empty Row", "Empty Row",
   _xlfn.LET(
       _xlpm.rawDataLookup, _xlfn.XLOOKUP(D44,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4" s="56" t="str" cm="1">
        <f t="array" ref="C44">IF(D44="Empty Row", "Empty Row",
   IF(COUNTIF('Name Mapping'!H:AD, D44) &gt; 0,
      INDEX('Name Mapping'!F:F, MATCH(TRUE, MMULT(--('Name Mapping'!H:AD=D44), TRANSPOSE(COLUMN('Name Mapping'!H:AD)^0)) &gt; 0, 0)),
      "")
)</f>
        <v>Empty Row</v>
      </c>
      <c r="D44" t="str">
        <f>IF(RawDataTable[[#This Row],[Account Name and Number]]&lt;&gt;"", RawDataTable[[#This Row],[Account Name and Number]], "Empty Row")</f>
        <v>Empty Row</v>
      </c>
      <c r="E44" s="28" t="str">
        <f>IF(D44="Empty Row", "Empty Row",
   _xlfn.LET(
       _xlpm.lookupResult, _xlfn.XLOOKUP(D44, RawDataTable[Account Name and Number], RawDataTable[Investment Date], "MISSING VALUE"),
       IF(ISNUMBER(_xlpm.lookupResult), _xlpm.lookupResult, "INVALID VALUE")
   )
)</f>
        <v>Empty Row</v>
      </c>
      <c r="F44" s="29" t="str">
        <f>IF(D44="Empty Row", "Empty Row",
   _xlfn.LET(
       _xlpm.lookupResult, _xlfn.XLOOKUP(D44, RawDataTable[Account Name and Number], RawDataTable[Investment Amount], "MISSING VALUE"),
       IF(ISNUMBER(_xlpm.lookupResult), _xlpm.lookupResult, "INVALID VALUE")
   )
)</f>
        <v>Empty Row</v>
      </c>
      <c r="G44" s="28" t="str">
        <f t="shared" ca="1" si="0"/>
        <v>Empty Row</v>
      </c>
      <c r="H44" s="29" t="str">
        <f>IF(D44="Empty Row", "Empty Row",
   _xlfn.LET(
       _xlpm.lookupResult, _xlfn.XLOOKUP(D44, RawDataTable[Account Name and Number], RawDataTable[Valuation Amount], "MISSING VALUE"),
       IF(ISNUMBER(_xlpm.lookupResult), _xlpm.lookupResult, "INVALID VALUE")
   )
)</f>
        <v>Empty Row</v>
      </c>
      <c r="I44" s="2" t="str">
        <f>IF(D44="Empty Row", "Empty Row", IF(_xlfn.XLOOKUP(B44, MasterTable[IRA Custodian], MasterTable[Address], "")="", "NO STREET NAME FOUND", _xlfn.XLOOKUP(B44, MasterTable[IRA Custodian], MasterTable[Address], "")))</f>
        <v>Empty Row</v>
      </c>
      <c r="J44" s="2" t="str">
        <f>IF(D44="Empty Row", "Empty Row",
   IF(OR(
       _xlfn.XLOOKUP(B44, MasterTable[IRA Custodian], MasterTable[City], "")="",
       _xlfn.XLOOKUP(B44, MasterTable[IRA Custodian], MasterTable[State], "")="",
       _xlfn.XLOOKUP(B44, MasterTable[IRA Custodian], MasterTable[Zip], "")=""),
       "INCOMPLETE ADDRESS",
       _xlfn.CONCAT(
           _xlfn.XLOOKUP(B44, MasterTable[IRA Custodian], MasterTable[City], ""), ", ",
           _xlfn.XLOOKUP(B44, MasterTable[IRA Custodian], MasterTable[State], ""), " ",
           _xlfn.XLOOKUP(B44, MasterTable[IRA Custodian], MasterTable[Zip], "")
       )
   )
)</f>
        <v>Empty Row</v>
      </c>
    </row>
    <row r="45" spans="1:10" x14ac:dyDescent="0.25">
      <c r="A45" t="str">
        <f>IF(D45="Empty Row", "Empty Row",
   _xlfn.LET(
       _xlpm.lookupResult, _xlfn.XLOOKUP(D45, RawDataTable[Account Name and Number], RawDataTable[Entity], "RAW DATA MISSING"),
       IF(ISBLANK(_xlpm.lookupResult), "RAW DATA MISSING", _xlpm.lookupResult)
   )
)</f>
        <v>Empty Row</v>
      </c>
      <c r="B45" t="str">
        <f>IF(D45="Empty Row", "Empty Row",
   _xlfn.LET(
       _xlpm.rawDataLookup, _xlfn.XLOOKUP(D45,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5" s="56" t="str" cm="1">
        <f t="array" ref="C45">IF(D45="Empty Row", "Empty Row",
   IF(COUNTIF('Name Mapping'!H:AD, D45) &gt; 0,
      INDEX('Name Mapping'!F:F, MATCH(TRUE, MMULT(--('Name Mapping'!H:AD=D45), TRANSPOSE(COLUMN('Name Mapping'!H:AD)^0)) &gt; 0, 0)),
      "")
)</f>
        <v>Empty Row</v>
      </c>
      <c r="D45" t="str">
        <f>IF(RawDataTable[[#This Row],[Account Name and Number]]&lt;&gt;"", RawDataTable[[#This Row],[Account Name and Number]], "Empty Row")</f>
        <v>Empty Row</v>
      </c>
      <c r="E45" s="28" t="str">
        <f>IF(D45="Empty Row", "Empty Row",
   _xlfn.LET(
       _xlpm.lookupResult, _xlfn.XLOOKUP(D45, RawDataTable[Account Name and Number], RawDataTable[Investment Date], "MISSING VALUE"),
       IF(ISNUMBER(_xlpm.lookupResult), _xlpm.lookupResult, "INVALID VALUE")
   )
)</f>
        <v>Empty Row</v>
      </c>
      <c r="F45" s="29" t="str">
        <f>IF(D45="Empty Row", "Empty Row",
   _xlfn.LET(
       _xlpm.lookupResult, _xlfn.XLOOKUP(D45, RawDataTable[Account Name and Number], RawDataTable[Investment Amount], "MISSING VALUE"),
       IF(ISNUMBER(_xlpm.lookupResult), _xlpm.lookupResult, "INVALID VALUE")
   )
)</f>
        <v>Empty Row</v>
      </c>
      <c r="G45" s="28" t="str">
        <f t="shared" ca="1" si="0"/>
        <v>Empty Row</v>
      </c>
      <c r="H45" s="29" t="str">
        <f>IF(D45="Empty Row", "Empty Row",
   _xlfn.LET(
       _xlpm.lookupResult, _xlfn.XLOOKUP(D45, RawDataTable[Account Name and Number], RawDataTable[Valuation Amount], "MISSING VALUE"),
       IF(ISNUMBER(_xlpm.lookupResult), _xlpm.lookupResult, "INVALID VALUE")
   )
)</f>
        <v>Empty Row</v>
      </c>
      <c r="I45" s="2" t="str">
        <f>IF(D45="Empty Row", "Empty Row", IF(_xlfn.XLOOKUP(B45, MasterTable[IRA Custodian], MasterTable[Address], "")="", "NO STREET NAME FOUND", _xlfn.XLOOKUP(B45, MasterTable[IRA Custodian], MasterTable[Address], "")))</f>
        <v>Empty Row</v>
      </c>
      <c r="J45" s="2" t="str">
        <f>IF(D45="Empty Row", "Empty Row",
   IF(OR(
       _xlfn.XLOOKUP(B45, MasterTable[IRA Custodian], MasterTable[City], "")="",
       _xlfn.XLOOKUP(B45, MasterTable[IRA Custodian], MasterTable[State], "")="",
       _xlfn.XLOOKUP(B45, MasterTable[IRA Custodian], MasterTable[Zip], "")=""),
       "INCOMPLETE ADDRESS",
       _xlfn.CONCAT(
           _xlfn.XLOOKUP(B45, MasterTable[IRA Custodian], MasterTable[City], ""), ", ",
           _xlfn.XLOOKUP(B45, MasterTable[IRA Custodian], MasterTable[State], ""), " ",
           _xlfn.XLOOKUP(B45, MasterTable[IRA Custodian], MasterTable[Zip], "")
       )
   )
)</f>
        <v>Empty Row</v>
      </c>
    </row>
    <row r="46" spans="1:10" x14ac:dyDescent="0.25">
      <c r="A46" t="str">
        <f>IF(D46="Empty Row", "Empty Row",
   _xlfn.LET(
       _xlpm.lookupResult, _xlfn.XLOOKUP(D46, RawDataTable[Account Name and Number], RawDataTable[Entity], "RAW DATA MISSING"),
       IF(ISBLANK(_xlpm.lookupResult), "RAW DATA MISSING", _xlpm.lookupResult)
   )
)</f>
        <v>Empty Row</v>
      </c>
      <c r="B46" t="str">
        <f>IF(D46="Empty Row", "Empty Row",
   _xlfn.LET(
       _xlpm.rawDataLookup, _xlfn.XLOOKUP(D46,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6" s="56" t="str" cm="1">
        <f t="array" ref="C46">IF(D46="Empty Row", "Empty Row",
   IF(COUNTIF('Name Mapping'!H:AD, D46) &gt; 0,
      INDEX('Name Mapping'!F:F, MATCH(TRUE, MMULT(--('Name Mapping'!H:AD=D46), TRANSPOSE(COLUMN('Name Mapping'!H:AD)^0)) &gt; 0, 0)),
      "")
)</f>
        <v>Empty Row</v>
      </c>
      <c r="D46" t="str">
        <f>IF(RawDataTable[[#This Row],[Account Name and Number]]&lt;&gt;"", RawDataTable[[#This Row],[Account Name and Number]], "Empty Row")</f>
        <v>Empty Row</v>
      </c>
      <c r="E46" s="28" t="str">
        <f>IF(D46="Empty Row", "Empty Row",
   _xlfn.LET(
       _xlpm.lookupResult, _xlfn.XLOOKUP(D46, RawDataTable[Account Name and Number], RawDataTable[Investment Date], "MISSING VALUE"),
       IF(ISNUMBER(_xlpm.lookupResult), _xlpm.lookupResult, "INVALID VALUE")
   )
)</f>
        <v>Empty Row</v>
      </c>
      <c r="F46" s="29" t="str">
        <f>IF(D46="Empty Row", "Empty Row",
   _xlfn.LET(
       _xlpm.lookupResult, _xlfn.XLOOKUP(D46, RawDataTable[Account Name and Number], RawDataTable[Investment Amount], "MISSING VALUE"),
       IF(ISNUMBER(_xlpm.lookupResult), _xlpm.lookupResult, "INVALID VALUE")
   )
)</f>
        <v>Empty Row</v>
      </c>
      <c r="G46" s="28" t="str">
        <f t="shared" ca="1" si="0"/>
        <v>Empty Row</v>
      </c>
      <c r="H46" s="29" t="str">
        <f>IF(D46="Empty Row", "Empty Row",
   _xlfn.LET(
       _xlpm.lookupResult, _xlfn.XLOOKUP(D46, RawDataTable[Account Name and Number], RawDataTable[Valuation Amount], "MISSING VALUE"),
       IF(ISNUMBER(_xlpm.lookupResult), _xlpm.lookupResult, "INVALID VALUE")
   )
)</f>
        <v>Empty Row</v>
      </c>
      <c r="I46" s="2" t="str">
        <f>IF(D46="Empty Row", "Empty Row", IF(_xlfn.XLOOKUP(B46, MasterTable[IRA Custodian], MasterTable[Address], "")="", "NO STREET NAME FOUND", _xlfn.XLOOKUP(B46, MasterTable[IRA Custodian], MasterTable[Address], "")))</f>
        <v>Empty Row</v>
      </c>
      <c r="J46" s="2" t="str">
        <f>IF(D46="Empty Row", "Empty Row",
   IF(OR(
       _xlfn.XLOOKUP(B46, MasterTable[IRA Custodian], MasterTable[City], "")="",
       _xlfn.XLOOKUP(B46, MasterTable[IRA Custodian], MasterTable[State], "")="",
       _xlfn.XLOOKUP(B46, MasterTable[IRA Custodian], MasterTable[Zip], "")=""),
       "INCOMPLETE ADDRESS",
       _xlfn.CONCAT(
           _xlfn.XLOOKUP(B46, MasterTable[IRA Custodian], MasterTable[City], ""), ", ",
           _xlfn.XLOOKUP(B46, MasterTable[IRA Custodian], MasterTable[State], ""), " ",
           _xlfn.XLOOKUP(B46, MasterTable[IRA Custodian], MasterTable[Zip], "")
       )
   )
)</f>
        <v>Empty Row</v>
      </c>
    </row>
    <row r="47" spans="1:10" x14ac:dyDescent="0.25">
      <c r="A47" t="str">
        <f>IF(D47="Empty Row", "Empty Row",
   _xlfn.LET(
       _xlpm.lookupResult, _xlfn.XLOOKUP(D47, RawDataTable[Account Name and Number], RawDataTable[Entity], "RAW DATA MISSING"),
       IF(ISBLANK(_xlpm.lookupResult), "RAW DATA MISSING", _xlpm.lookupResult)
   )
)</f>
        <v>Empty Row</v>
      </c>
      <c r="B47" t="str">
        <f>IF(D47="Empty Row", "Empty Row",
   _xlfn.LET(
       _xlpm.rawDataLookup, _xlfn.XLOOKUP(D47,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7" s="56" t="str" cm="1">
        <f t="array" ref="C47">IF(D47="Empty Row", "Empty Row",
   IF(COUNTIF('Name Mapping'!H:AD, D47) &gt; 0,
      INDEX('Name Mapping'!F:F, MATCH(TRUE, MMULT(--('Name Mapping'!H:AD=D47), TRANSPOSE(COLUMN('Name Mapping'!H:AD)^0)) &gt; 0, 0)),
      "")
)</f>
        <v>Empty Row</v>
      </c>
      <c r="D47" t="str">
        <f>IF(RawDataTable[[#This Row],[Account Name and Number]]&lt;&gt;"", RawDataTable[[#This Row],[Account Name and Number]], "Empty Row")</f>
        <v>Empty Row</v>
      </c>
      <c r="E47" s="28" t="str">
        <f>IF(D47="Empty Row", "Empty Row",
   _xlfn.LET(
       _xlpm.lookupResult, _xlfn.XLOOKUP(D47, RawDataTable[Account Name and Number], RawDataTable[Investment Date], "MISSING VALUE"),
       IF(ISNUMBER(_xlpm.lookupResult), _xlpm.lookupResult, "INVALID VALUE")
   )
)</f>
        <v>Empty Row</v>
      </c>
      <c r="F47" s="29" t="str">
        <f>IF(D47="Empty Row", "Empty Row",
   _xlfn.LET(
       _xlpm.lookupResult, _xlfn.XLOOKUP(D47, RawDataTable[Account Name and Number], RawDataTable[Investment Amount], "MISSING VALUE"),
       IF(ISNUMBER(_xlpm.lookupResult), _xlpm.lookupResult, "INVALID VALUE")
   )
)</f>
        <v>Empty Row</v>
      </c>
      <c r="G47" s="28" t="str">
        <f t="shared" ca="1" si="0"/>
        <v>Empty Row</v>
      </c>
      <c r="H47" s="29" t="str">
        <f>IF(D47="Empty Row", "Empty Row",
   _xlfn.LET(
       _xlpm.lookupResult, _xlfn.XLOOKUP(D47, RawDataTable[Account Name and Number], RawDataTable[Valuation Amount], "MISSING VALUE"),
       IF(ISNUMBER(_xlpm.lookupResult), _xlpm.lookupResult, "INVALID VALUE")
   )
)</f>
        <v>Empty Row</v>
      </c>
      <c r="I47" s="2" t="str">
        <f>IF(D47="Empty Row", "Empty Row", IF(_xlfn.XLOOKUP(B47, MasterTable[IRA Custodian], MasterTable[Address], "")="", "NO STREET NAME FOUND", _xlfn.XLOOKUP(B47, MasterTable[IRA Custodian], MasterTable[Address], "")))</f>
        <v>Empty Row</v>
      </c>
      <c r="J47" s="2" t="str">
        <f>IF(D47="Empty Row", "Empty Row",
   IF(OR(
       _xlfn.XLOOKUP(B47, MasterTable[IRA Custodian], MasterTable[City], "")="",
       _xlfn.XLOOKUP(B47, MasterTable[IRA Custodian], MasterTable[State], "")="",
       _xlfn.XLOOKUP(B47, MasterTable[IRA Custodian], MasterTable[Zip], "")=""),
       "INCOMPLETE ADDRESS",
       _xlfn.CONCAT(
           _xlfn.XLOOKUP(B47, MasterTable[IRA Custodian], MasterTable[City], ""), ", ",
           _xlfn.XLOOKUP(B47, MasterTable[IRA Custodian], MasterTable[State], ""), " ",
           _xlfn.XLOOKUP(B47, MasterTable[IRA Custodian], MasterTable[Zip], "")
       )
   )
)</f>
        <v>Empty Row</v>
      </c>
    </row>
    <row r="48" spans="1:10" x14ac:dyDescent="0.25">
      <c r="A48" t="str">
        <f>IF(D48="Empty Row", "Empty Row",
   _xlfn.LET(
       _xlpm.lookupResult, _xlfn.XLOOKUP(D48, RawDataTable[Account Name and Number], RawDataTable[Entity], "RAW DATA MISSING"),
       IF(ISBLANK(_xlpm.lookupResult), "RAW DATA MISSING", _xlpm.lookupResult)
   )
)</f>
        <v>Empty Row</v>
      </c>
      <c r="B48" t="str">
        <f>IF(D48="Empty Row", "Empty Row",
   _xlfn.LET(
       _xlpm.rawDataLookup, _xlfn.XLOOKUP(D48,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8" s="56" t="str" cm="1">
        <f t="array" ref="C48">IF(D48="Empty Row", "Empty Row",
   IF(COUNTIF('Name Mapping'!H:AD, D48) &gt; 0,
      INDEX('Name Mapping'!F:F, MATCH(TRUE, MMULT(--('Name Mapping'!H:AD=D48), TRANSPOSE(COLUMN('Name Mapping'!H:AD)^0)) &gt; 0, 0)),
      "")
)</f>
        <v>Empty Row</v>
      </c>
      <c r="D48" t="str">
        <f>IF(RawDataTable[[#This Row],[Account Name and Number]]&lt;&gt;"", RawDataTable[[#This Row],[Account Name and Number]], "Empty Row")</f>
        <v>Empty Row</v>
      </c>
      <c r="E48" s="28" t="str">
        <f>IF(D48="Empty Row", "Empty Row",
   _xlfn.LET(
       _xlpm.lookupResult, _xlfn.XLOOKUP(D48, RawDataTable[Account Name and Number], RawDataTable[Investment Date], "MISSING VALUE"),
       IF(ISNUMBER(_xlpm.lookupResult), _xlpm.lookupResult, "INVALID VALUE")
   )
)</f>
        <v>Empty Row</v>
      </c>
      <c r="F48" s="29" t="str">
        <f>IF(D48="Empty Row", "Empty Row",
   _xlfn.LET(
       _xlpm.lookupResult, _xlfn.XLOOKUP(D48, RawDataTable[Account Name and Number], RawDataTable[Investment Amount], "MISSING VALUE"),
       IF(ISNUMBER(_xlpm.lookupResult), _xlpm.lookupResult, "INVALID VALUE")
   )
)</f>
        <v>Empty Row</v>
      </c>
      <c r="G48" s="28" t="str">
        <f t="shared" ca="1" si="0"/>
        <v>Empty Row</v>
      </c>
      <c r="H48" s="29" t="str">
        <f>IF(D48="Empty Row", "Empty Row",
   _xlfn.LET(
       _xlpm.lookupResult, _xlfn.XLOOKUP(D48, RawDataTable[Account Name and Number], RawDataTable[Valuation Amount], "MISSING VALUE"),
       IF(ISNUMBER(_xlpm.lookupResult), _xlpm.lookupResult, "INVALID VALUE")
   )
)</f>
        <v>Empty Row</v>
      </c>
      <c r="I48" s="2" t="str">
        <f>IF(D48="Empty Row", "Empty Row", IF(_xlfn.XLOOKUP(B48, MasterTable[IRA Custodian], MasterTable[Address], "")="", "NO STREET NAME FOUND", _xlfn.XLOOKUP(B48, MasterTable[IRA Custodian], MasterTable[Address], "")))</f>
        <v>Empty Row</v>
      </c>
      <c r="J48" s="2" t="str">
        <f>IF(D48="Empty Row", "Empty Row",
   IF(OR(
       _xlfn.XLOOKUP(B48, MasterTable[IRA Custodian], MasterTable[City], "")="",
       _xlfn.XLOOKUP(B48, MasterTable[IRA Custodian], MasterTable[State], "")="",
       _xlfn.XLOOKUP(B48, MasterTable[IRA Custodian], MasterTable[Zip], "")=""),
       "INCOMPLETE ADDRESS",
       _xlfn.CONCAT(
           _xlfn.XLOOKUP(B48, MasterTable[IRA Custodian], MasterTable[City], ""), ", ",
           _xlfn.XLOOKUP(B48, MasterTable[IRA Custodian], MasterTable[State], ""), " ",
           _xlfn.XLOOKUP(B48, MasterTable[IRA Custodian], MasterTable[Zip], "")
       )
   )
)</f>
        <v>Empty Row</v>
      </c>
    </row>
    <row r="49" spans="1:10" x14ac:dyDescent="0.25">
      <c r="A49" t="str">
        <f>IF(D49="Empty Row", "Empty Row",
   _xlfn.LET(
       _xlpm.lookupResult, _xlfn.XLOOKUP(D49, RawDataTable[Account Name and Number], RawDataTable[Entity], "RAW DATA MISSING"),
       IF(ISBLANK(_xlpm.lookupResult), "RAW DATA MISSING", _xlpm.lookupResult)
   )
)</f>
        <v>Empty Row</v>
      </c>
      <c r="B49" t="str">
        <f>IF(D49="Empty Row", "Empty Row",
   _xlfn.LET(
       _xlpm.rawDataLookup, _xlfn.XLOOKUP(D49,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9" s="56" t="str" cm="1">
        <f t="array" ref="C49">IF(D49="Empty Row", "Empty Row",
   IF(COUNTIF('Name Mapping'!H:AD, D49) &gt; 0,
      INDEX('Name Mapping'!F:F, MATCH(TRUE, MMULT(--('Name Mapping'!H:AD=D49), TRANSPOSE(COLUMN('Name Mapping'!H:AD)^0)) &gt; 0, 0)),
      "")
)</f>
        <v>Empty Row</v>
      </c>
      <c r="D49" t="str">
        <f>IF(RawDataTable[[#This Row],[Account Name and Number]]&lt;&gt;"", RawDataTable[[#This Row],[Account Name and Number]], "Empty Row")</f>
        <v>Empty Row</v>
      </c>
      <c r="E49" s="28" t="str">
        <f>IF(D49="Empty Row", "Empty Row",
   _xlfn.LET(
       _xlpm.lookupResult, _xlfn.XLOOKUP(D49, RawDataTable[Account Name and Number], RawDataTable[Investment Date], "MISSING VALUE"),
       IF(ISNUMBER(_xlpm.lookupResult), _xlpm.lookupResult, "INVALID VALUE")
   )
)</f>
        <v>Empty Row</v>
      </c>
      <c r="F49" s="29" t="str">
        <f>IF(D49="Empty Row", "Empty Row",
   _xlfn.LET(
       _xlpm.lookupResult, _xlfn.XLOOKUP(D49, RawDataTable[Account Name and Number], RawDataTable[Investment Amount], "MISSING VALUE"),
       IF(ISNUMBER(_xlpm.lookupResult), _xlpm.lookupResult, "INVALID VALUE")
   )
)</f>
        <v>Empty Row</v>
      </c>
      <c r="G49" s="28" t="str">
        <f t="shared" ca="1" si="0"/>
        <v>Empty Row</v>
      </c>
      <c r="H49" s="29" t="str">
        <f>IF(D49="Empty Row", "Empty Row",
   _xlfn.LET(
       _xlpm.lookupResult, _xlfn.XLOOKUP(D49, RawDataTable[Account Name and Number], RawDataTable[Valuation Amount], "MISSING VALUE"),
       IF(ISNUMBER(_xlpm.lookupResult), _xlpm.lookupResult, "INVALID VALUE")
   )
)</f>
        <v>Empty Row</v>
      </c>
      <c r="I49" s="2" t="str">
        <f>IF(D49="Empty Row", "Empty Row", IF(_xlfn.XLOOKUP(B49, MasterTable[IRA Custodian], MasterTable[Address], "")="", "NO STREET NAME FOUND", _xlfn.XLOOKUP(B49, MasterTable[IRA Custodian], MasterTable[Address], "")))</f>
        <v>Empty Row</v>
      </c>
      <c r="J49" s="2" t="str">
        <f>IF(D49="Empty Row", "Empty Row",
   IF(OR(
       _xlfn.XLOOKUP(B49, MasterTable[IRA Custodian], MasterTable[City], "")="",
       _xlfn.XLOOKUP(B49, MasterTable[IRA Custodian], MasterTable[State], "")="",
       _xlfn.XLOOKUP(B49, MasterTable[IRA Custodian], MasterTable[Zip], "")=""),
       "INCOMPLETE ADDRESS",
       _xlfn.CONCAT(
           _xlfn.XLOOKUP(B49, MasterTable[IRA Custodian], MasterTable[City], ""), ", ",
           _xlfn.XLOOKUP(B49, MasterTable[IRA Custodian], MasterTable[State], ""), " ",
           _xlfn.XLOOKUP(B49, MasterTable[IRA Custodian], MasterTable[Zip], "")
       )
   )
)</f>
        <v>Empty Row</v>
      </c>
    </row>
    <row r="50" spans="1:10" x14ac:dyDescent="0.25">
      <c r="A50" t="str">
        <f>IF(D50="Empty Row", "Empty Row",
   _xlfn.LET(
       _xlpm.lookupResult, _xlfn.XLOOKUP(D50, RawDataTable[Account Name and Number], RawDataTable[Entity], "RAW DATA MISSING"),
       IF(ISBLANK(_xlpm.lookupResult), "RAW DATA MISSING", _xlpm.lookupResult)
   )
)</f>
        <v>Empty Row</v>
      </c>
      <c r="B50" t="str">
        <f>IF(D50="Empty Row", "Empty Row",
   _xlfn.LET(
       _xlpm.rawDataLookup, _xlfn.XLOOKUP(D50,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50" s="56" t="str" cm="1">
        <f t="array" ref="C50">IF(D50="Empty Row", "Empty Row",
   IF(COUNTIF('Name Mapping'!H:AD, D50) &gt; 0,
      INDEX('Name Mapping'!F:F, MATCH(TRUE, MMULT(--('Name Mapping'!H:AD=D50), TRANSPOSE(COLUMN('Name Mapping'!H:AD)^0)) &gt; 0, 0)),
      "")
)</f>
        <v>Empty Row</v>
      </c>
      <c r="D50" t="str">
        <f>IF(RawDataTable[[#This Row],[Account Name and Number]]&lt;&gt;"", RawDataTable[[#This Row],[Account Name and Number]], "Empty Row")</f>
        <v>Empty Row</v>
      </c>
      <c r="E50" s="28" t="str">
        <f>IF(D50="Empty Row", "Empty Row",
   _xlfn.LET(
       _xlpm.lookupResult, _xlfn.XLOOKUP(D50, RawDataTable[Account Name and Number], RawDataTable[Investment Date], "MISSING VALUE"),
       IF(ISNUMBER(_xlpm.lookupResult), _xlpm.lookupResult, "INVALID VALUE")
   )
)</f>
        <v>Empty Row</v>
      </c>
      <c r="F50" s="29" t="str">
        <f>IF(D50="Empty Row", "Empty Row",
   _xlfn.LET(
       _xlpm.lookupResult, _xlfn.XLOOKUP(D50, RawDataTable[Account Name and Number], RawDataTable[Investment Amount], "MISSING VALUE"),
       IF(ISNUMBER(_xlpm.lookupResult), _xlpm.lookupResult, "INVALID VALUE")
   )
)</f>
        <v>Empty Row</v>
      </c>
      <c r="G50" s="28" t="str">
        <f t="shared" ca="1" si="0"/>
        <v>Empty Row</v>
      </c>
      <c r="H50" s="29" t="str">
        <f>IF(D50="Empty Row", "Empty Row",
   _xlfn.LET(
       _xlpm.lookupResult, _xlfn.XLOOKUP(D50, RawDataTable[Account Name and Number], RawDataTable[Valuation Amount], "MISSING VALUE"),
       IF(ISNUMBER(_xlpm.lookupResult), _xlpm.lookupResult, "INVALID VALUE")
   )
)</f>
        <v>Empty Row</v>
      </c>
      <c r="I50" s="2" t="str">
        <f>IF(D50="Empty Row", "Empty Row", IF(_xlfn.XLOOKUP(B50, MasterTable[IRA Custodian], MasterTable[Address], "")="", "NO STREET NAME FOUND", _xlfn.XLOOKUP(B50, MasterTable[IRA Custodian], MasterTable[Address], "")))</f>
        <v>Empty Row</v>
      </c>
      <c r="J50" s="2" t="str">
        <f>IF(D50="Empty Row", "Empty Row",
   IF(OR(
       _xlfn.XLOOKUP(B50, MasterTable[IRA Custodian], MasterTable[City], "")="",
       _xlfn.XLOOKUP(B50, MasterTable[IRA Custodian], MasterTable[State], "")="",
       _xlfn.XLOOKUP(B50, MasterTable[IRA Custodian], MasterTable[Zip], "")=""),
       "INCOMPLETE ADDRESS",
       _xlfn.CONCAT(
           _xlfn.XLOOKUP(B50, MasterTable[IRA Custodian], MasterTable[City], ""), ", ",
           _xlfn.XLOOKUP(B50, MasterTable[IRA Custodian], MasterTable[State], ""), " ",
           _xlfn.XLOOKUP(B50, MasterTable[IRA Custodian], MasterTable[Zip], "")
       )
   )
)</f>
        <v>Empty Row</v>
      </c>
    </row>
    <row r="51" spans="1:10" x14ac:dyDescent="0.25">
      <c r="A51" t="str">
        <f>IF(D51="Empty Row", "Empty Row",
   _xlfn.LET(
       _xlpm.lookupResult, _xlfn.XLOOKUP(D51, RawDataTable[Account Name and Number], RawDataTable[Entity], "RAW DATA MISSING"),
       IF(ISBLANK(_xlpm.lookupResult), "RAW DATA MISSING", _xlpm.lookupResult)
   )
)</f>
        <v>Empty Row</v>
      </c>
      <c r="B51" t="str">
        <f>IF(D51="Empty Row", "Empty Row",
   _xlfn.LET(
       _xlpm.rawDataLookup, _xlfn.XLOOKUP(D51,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51" s="56" t="str" cm="1">
        <f t="array" ref="C51">IF(D51="Empty Row", "Empty Row",
   IF(COUNTIF('Name Mapping'!H:AD, D51) &gt; 0,
      INDEX('Name Mapping'!F:F, MATCH(TRUE, MMULT(--('Name Mapping'!H:AD=D51), TRANSPOSE(COLUMN('Name Mapping'!H:AD)^0)) &gt; 0, 0)),
      "")
)</f>
        <v>Empty Row</v>
      </c>
      <c r="D51" t="str">
        <f>IF(RawDataTable[[#This Row],[Account Name and Number]]&lt;&gt;"", RawDataTable[[#This Row],[Account Name and Number]], "Empty Row")</f>
        <v>Empty Row</v>
      </c>
      <c r="E51" s="28" t="str">
        <f>IF(D51="Empty Row", "Empty Row",
   _xlfn.LET(
       _xlpm.lookupResult, _xlfn.XLOOKUP(D51, RawDataTable[Account Name and Number], RawDataTable[Investment Date], "MISSING VALUE"),
       IF(ISNUMBER(_xlpm.lookupResult), _xlpm.lookupResult, "INVALID VALUE")
   )
)</f>
        <v>Empty Row</v>
      </c>
      <c r="F51" s="29" t="str">
        <f>IF(D51="Empty Row", "Empty Row",
   _xlfn.LET(
       _xlpm.lookupResult, _xlfn.XLOOKUP(D51, RawDataTable[Account Name and Number], RawDataTable[Investment Amount], "MISSING VALUE"),
       IF(ISNUMBER(_xlpm.lookupResult), _xlpm.lookupResult, "INVALID VALUE")
   )
)</f>
        <v>Empty Row</v>
      </c>
      <c r="G51" s="28" t="str">
        <f t="shared" ca="1" si="0"/>
        <v>Empty Row</v>
      </c>
      <c r="H51" s="29" t="str">
        <f>IF(D51="Empty Row", "Empty Row",
   _xlfn.LET(
       _xlpm.lookupResult, _xlfn.XLOOKUP(D51, RawDataTable[Account Name and Number], RawDataTable[Valuation Amount], "MISSING VALUE"),
       IF(ISNUMBER(_xlpm.lookupResult), _xlpm.lookupResult, "INVALID VALUE")
   )
)</f>
        <v>Empty Row</v>
      </c>
      <c r="I51" s="2" t="str">
        <f>IF(D51="Empty Row", "Empty Row", IF(_xlfn.XLOOKUP(B51, MasterTable[IRA Custodian], MasterTable[Address], "")="", "NO STREET NAME FOUND", _xlfn.XLOOKUP(B51, MasterTable[IRA Custodian], MasterTable[Address], "")))</f>
        <v>Empty Row</v>
      </c>
      <c r="J51" s="2" t="str">
        <f>IF(D51="Empty Row", "Empty Row",
   IF(OR(
       _xlfn.XLOOKUP(B51, MasterTable[IRA Custodian], MasterTable[City], "")="",
       _xlfn.XLOOKUP(B51, MasterTable[IRA Custodian], MasterTable[State], "")="",
       _xlfn.XLOOKUP(B51, MasterTable[IRA Custodian], MasterTable[Zip], "")=""),
       "INCOMPLETE ADDRESS",
       _xlfn.CONCAT(
           _xlfn.XLOOKUP(B51, MasterTable[IRA Custodian], MasterTable[City], ""), ", ",
           _xlfn.XLOOKUP(B51, MasterTable[IRA Custodian], MasterTable[State], ""), " ",
           _xlfn.XLOOKUP(B51, MasterTable[IRA Custodian], MasterTable[Zip], "")
       )
   )
)</f>
        <v>Empty Row</v>
      </c>
    </row>
    <row r="52" spans="1:10" x14ac:dyDescent="0.25">
      <c r="A52" t="str">
        <f>IF(D52="Empty Row", "Empty Row",
   _xlfn.LET(
       _xlpm.lookupResult, _xlfn.XLOOKUP(D52, RawDataTable[Account Name and Number], RawDataTable[Entity], "RAW DATA MISSING"),
       IF(ISBLANK(_xlpm.lookupResult), "RAW DATA MISSING", _xlpm.lookupResult)
   )
)</f>
        <v>Empty Row</v>
      </c>
      <c r="B52" t="str">
        <f>IF(D52="Empty Row", "Empty Row",
   _xlfn.LET(
       _xlpm.rawDataLookup, _xlfn.XLOOKUP(D52,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52" s="56" t="str" cm="1">
        <f t="array" ref="C52">IF(D52="Empty Row", "Empty Row",
   IF(COUNTIF('Name Mapping'!H:AD, D52) &gt; 0,
      INDEX('Name Mapping'!F:F, MATCH(TRUE, MMULT(--('Name Mapping'!H:AD=D52), TRANSPOSE(COLUMN('Name Mapping'!H:AD)^0)) &gt; 0, 0)),
      "")
)</f>
        <v>Empty Row</v>
      </c>
      <c r="D52" t="str">
        <f>IF(RawDataTable[[#This Row],[Account Name and Number]]&lt;&gt;"", RawDataTable[[#This Row],[Account Name and Number]], "Empty Row")</f>
        <v>Empty Row</v>
      </c>
      <c r="E52" s="28" t="str">
        <f>IF(D52="Empty Row", "Empty Row",
   _xlfn.LET(
       _xlpm.lookupResult, _xlfn.XLOOKUP(D52, RawDataTable[Account Name and Number], RawDataTable[Investment Date], "MISSING VALUE"),
       IF(ISNUMBER(_xlpm.lookupResult), _xlpm.lookupResult, "INVALID VALUE")
   )
)</f>
        <v>Empty Row</v>
      </c>
      <c r="F52" s="29" t="str">
        <f>IF(D52="Empty Row", "Empty Row",
   _xlfn.LET(
       _xlpm.lookupResult, _xlfn.XLOOKUP(D52, RawDataTable[Account Name and Number], RawDataTable[Investment Amount], "MISSING VALUE"),
       IF(ISNUMBER(_xlpm.lookupResult), _xlpm.lookupResult, "INVALID VALUE")
   )
)</f>
        <v>Empty Row</v>
      </c>
      <c r="G52" s="28" t="str">
        <f t="shared" ca="1" si="0"/>
        <v>Empty Row</v>
      </c>
      <c r="H52" s="29" t="str">
        <f>IF(D52="Empty Row", "Empty Row",
   _xlfn.LET(
       _xlpm.lookupResult, _xlfn.XLOOKUP(D52, RawDataTable[Account Name and Number], RawDataTable[Valuation Amount], "MISSING VALUE"),
       IF(ISNUMBER(_xlpm.lookupResult), _xlpm.lookupResult, "INVALID VALUE")
   )
)</f>
        <v>Empty Row</v>
      </c>
      <c r="I52" s="2" t="str">
        <f>IF(D52="Empty Row", "Empty Row", IF(_xlfn.XLOOKUP(B52, MasterTable[IRA Custodian], MasterTable[Address], "")="", "NO STREET NAME FOUND", _xlfn.XLOOKUP(B52, MasterTable[IRA Custodian], MasterTable[Address], "")))</f>
        <v>Empty Row</v>
      </c>
      <c r="J52" s="2" t="str">
        <f>IF(D52="Empty Row", "Empty Row",
   IF(OR(
       _xlfn.XLOOKUP(B52, MasterTable[IRA Custodian], MasterTable[City], "")="",
       _xlfn.XLOOKUP(B52, MasterTable[IRA Custodian], MasterTable[State], "")="",
       _xlfn.XLOOKUP(B52, MasterTable[IRA Custodian], MasterTable[Zip], "")=""),
       "INCOMPLETE ADDRESS",
       _xlfn.CONCAT(
           _xlfn.XLOOKUP(B52, MasterTable[IRA Custodian], MasterTable[City], ""), ", ",
           _xlfn.XLOOKUP(B52, MasterTable[IRA Custodian], MasterTable[State], ""), " ",
           _xlfn.XLOOKUP(B52, MasterTable[IRA Custodian], MasterTable[Zip], "")
       )
   )
)</f>
        <v>Empty Row</v>
      </c>
    </row>
    <row r="53" spans="1:10" x14ac:dyDescent="0.25">
      <c r="A53" t="str">
        <f>IF(D53="Empty Row", "Empty Row",
   _xlfn.LET(
       _xlpm.lookupResult, _xlfn.XLOOKUP(D53, RawDataTable[Account Name and Number], RawDataTable[Entity], "RAW DATA MISSING"),
       IF(ISBLANK(_xlpm.lookupResult), "RAW DATA MISSING", _xlpm.lookupResult)
   )
)</f>
        <v>Empty Row</v>
      </c>
      <c r="B53" t="str">
        <f>IF(D53="Empty Row", "Empty Row",
   _xlfn.LET(
       _xlpm.rawDataLookup, _xlfn.XLOOKUP(D53,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53" s="56" t="str" cm="1">
        <f t="array" ref="C53">IF(D53="Empty Row", "Empty Row",
   IF(COUNTIF('Name Mapping'!H:AD, D53) &gt; 0,
      INDEX('Name Mapping'!F:F, MATCH(TRUE, MMULT(--('Name Mapping'!H:AD=D53), TRANSPOSE(COLUMN('Name Mapping'!H:AD)^0)) &gt; 0, 0)),
      "")
)</f>
        <v>Empty Row</v>
      </c>
      <c r="D53" t="str">
        <f>IF(RawDataTable[[#This Row],[Account Name and Number]]&lt;&gt;"", RawDataTable[[#This Row],[Account Name and Number]], "Empty Row")</f>
        <v>Empty Row</v>
      </c>
      <c r="E53" s="28" t="str">
        <f>IF(D53="Empty Row", "Empty Row",
   _xlfn.LET(
       _xlpm.lookupResult, _xlfn.XLOOKUP(D53, RawDataTable[Account Name and Number], RawDataTable[Investment Date], "MISSING VALUE"),
       IF(ISNUMBER(_xlpm.lookupResult), _xlpm.lookupResult, "INVALID VALUE")
   )
)</f>
        <v>Empty Row</v>
      </c>
      <c r="F53" s="29" t="str">
        <f>IF(D53="Empty Row", "Empty Row",
   _xlfn.LET(
       _xlpm.lookupResult, _xlfn.XLOOKUP(D53, RawDataTable[Account Name and Number], RawDataTable[Investment Amount], "MISSING VALUE"),
       IF(ISNUMBER(_xlpm.lookupResult), _xlpm.lookupResult, "INVALID VALUE")
   )
)</f>
        <v>Empty Row</v>
      </c>
      <c r="G53" s="28" t="str">
        <f t="shared" ca="1" si="0"/>
        <v>Empty Row</v>
      </c>
      <c r="H53" s="29" t="str">
        <f>IF(D53="Empty Row", "Empty Row",
   _xlfn.LET(
       _xlpm.lookupResult, _xlfn.XLOOKUP(D53, RawDataTable[Account Name and Number], RawDataTable[Valuation Amount], "MISSING VALUE"),
       IF(ISNUMBER(_xlpm.lookupResult), _xlpm.lookupResult, "INVALID VALUE")
   )
)</f>
        <v>Empty Row</v>
      </c>
      <c r="I53" s="2" t="str">
        <f>IF(D53="Empty Row", "Empty Row", IF(_xlfn.XLOOKUP(B53, MasterTable[IRA Custodian], MasterTable[Address], "")="", "NO STREET NAME FOUND", _xlfn.XLOOKUP(B53, MasterTable[IRA Custodian], MasterTable[Address], "")))</f>
        <v>Empty Row</v>
      </c>
      <c r="J53" s="2" t="str">
        <f>IF(D53="Empty Row", "Empty Row",
   IF(OR(
       _xlfn.XLOOKUP(B53, MasterTable[IRA Custodian], MasterTable[City], "")="",
       _xlfn.XLOOKUP(B53, MasterTable[IRA Custodian], MasterTable[State], "")="",
       _xlfn.XLOOKUP(B53, MasterTable[IRA Custodian], MasterTable[Zip], "")=""),
       "INCOMPLETE ADDRESS",
       _xlfn.CONCAT(
           _xlfn.XLOOKUP(B53, MasterTable[IRA Custodian], MasterTable[City], ""), ", ",
           _xlfn.XLOOKUP(B53, MasterTable[IRA Custodian], MasterTable[State], ""), " ",
           _xlfn.XLOOKUP(B53, MasterTable[IRA Custodian], MasterTable[Zip], "")
       )
   )
)</f>
        <v>Empty Row</v>
      </c>
    </row>
    <row r="54" spans="1:10" x14ac:dyDescent="0.25">
      <c r="A54" t="str">
        <f>IF(D54="Empty Row", "Empty Row",
   _xlfn.LET(
       _xlpm.lookupResult, _xlfn.XLOOKUP(D54, RawDataTable[Account Name and Number], RawDataTable[Entity], "RAW DATA MISSING"),
       IF(ISBLANK(_xlpm.lookupResult), "RAW DATA MISSING", _xlpm.lookupResult)
   )
)</f>
        <v>Empty Row</v>
      </c>
      <c r="B54" t="str">
        <f>IF(D54="Empty Row", "Empty Row",
   _xlfn.LET(
       _xlpm.rawDataLookup, _xlfn.XLOOKUP(D54,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54" s="56" t="str" cm="1">
        <f t="array" ref="C54">IF(D54="Empty Row", "Empty Row",
   IF(COUNTIF('Name Mapping'!H:AD, D54) &gt; 0,
      INDEX('Name Mapping'!F:F, MATCH(TRUE, MMULT(--('Name Mapping'!H:AD=D54), TRANSPOSE(COLUMN('Name Mapping'!H:AD)^0)) &gt; 0, 0)),
      "")
)</f>
        <v>Empty Row</v>
      </c>
      <c r="D54" t="str">
        <f>IF(RawDataTable[[#This Row],[Account Name and Number]]&lt;&gt;"", RawDataTable[[#This Row],[Account Name and Number]], "Empty Row")</f>
        <v>Empty Row</v>
      </c>
      <c r="E54" s="28" t="str">
        <f>IF(D54="Empty Row", "Empty Row",
   _xlfn.LET(
       _xlpm.lookupResult, _xlfn.XLOOKUP(D54, RawDataTable[Account Name and Number], RawDataTable[Investment Date], "MISSING VALUE"),
       IF(ISNUMBER(_xlpm.lookupResult), _xlpm.lookupResult, "INVALID VALUE")
   )
)</f>
        <v>Empty Row</v>
      </c>
      <c r="F54" s="29" t="str">
        <f>IF(D54="Empty Row", "Empty Row",
   _xlfn.LET(
       _xlpm.lookupResult, _xlfn.XLOOKUP(D54, RawDataTable[Account Name and Number], RawDataTable[Investment Amount], "MISSING VALUE"),
       IF(ISNUMBER(_xlpm.lookupResult), _xlpm.lookupResult, "INVALID VALUE")
   )
)</f>
        <v>Empty Row</v>
      </c>
      <c r="G54" s="28" t="str">
        <f t="shared" ca="1" si="0"/>
        <v>Empty Row</v>
      </c>
      <c r="H54" s="29" t="str">
        <f>IF(D54="Empty Row", "Empty Row",
   _xlfn.LET(
       _xlpm.lookupResult, _xlfn.XLOOKUP(D54, RawDataTable[Account Name and Number], RawDataTable[Valuation Amount], "MISSING VALUE"),
       IF(ISNUMBER(_xlpm.lookupResult), _xlpm.lookupResult, "INVALID VALUE")
   )
)</f>
        <v>Empty Row</v>
      </c>
      <c r="I54" s="2" t="str">
        <f>IF(D54="Empty Row", "Empty Row", IF(_xlfn.XLOOKUP(B54, MasterTable[IRA Custodian], MasterTable[Address], "")="", "NO STREET NAME FOUND", _xlfn.XLOOKUP(B54, MasterTable[IRA Custodian], MasterTable[Address], "")))</f>
        <v>Empty Row</v>
      </c>
      <c r="J54" s="2" t="str">
        <f>IF(D54="Empty Row", "Empty Row",
   IF(OR(
       _xlfn.XLOOKUP(B54, MasterTable[IRA Custodian], MasterTable[City], "")="",
       _xlfn.XLOOKUP(B54, MasterTable[IRA Custodian], MasterTable[State], "")="",
       _xlfn.XLOOKUP(B54, MasterTable[IRA Custodian], MasterTable[Zip], "")=""),
       "INCOMPLETE ADDRESS",
       _xlfn.CONCAT(
           _xlfn.XLOOKUP(B54, MasterTable[IRA Custodian], MasterTable[City], ""), ", ",
           _xlfn.XLOOKUP(B54, MasterTable[IRA Custodian], MasterTable[State], ""), " ",
           _xlfn.XLOOKUP(B54, MasterTable[IRA Custodian], MasterTable[Zip], "")
       )
   )
)</f>
        <v>Empty Row</v>
      </c>
    </row>
    <row r="55" spans="1:10" x14ac:dyDescent="0.25">
      <c r="A55" t="str">
        <f>IF(D55="Empty Row", "Empty Row",
   _xlfn.LET(
       _xlpm.lookupResult, _xlfn.XLOOKUP(D55, RawDataTable[Account Name and Number], RawDataTable[Entity], "RAW DATA MISSING"),
       IF(ISBLANK(_xlpm.lookupResult), "RAW DATA MISSING", _xlpm.lookupResult)
   )
)</f>
        <v>Empty Row</v>
      </c>
      <c r="B55" t="str">
        <f>IF(D55="Empty Row", "Empty Row",
   _xlfn.LET(
       _xlpm.rawDataLookup, _xlfn.XLOOKUP(D55,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55" s="56" t="str" cm="1">
        <f t="array" ref="C55">IF(D55="Empty Row", "Empty Row",
   IF(COUNTIF('Name Mapping'!H:AD, D55) &gt; 0,
      INDEX('Name Mapping'!F:F, MATCH(TRUE, MMULT(--('Name Mapping'!H:AD=D55), TRANSPOSE(COLUMN('Name Mapping'!H:AD)^0)) &gt; 0, 0)),
      "")
)</f>
        <v>Empty Row</v>
      </c>
      <c r="D55" t="str">
        <f>IF(RawDataTable[[#This Row],[Account Name and Number]]&lt;&gt;"", RawDataTable[[#This Row],[Account Name and Number]], "Empty Row")</f>
        <v>Empty Row</v>
      </c>
      <c r="E55" s="28" t="str">
        <f>IF(D55="Empty Row", "Empty Row",
   _xlfn.LET(
       _xlpm.lookupResult, _xlfn.XLOOKUP(D55, RawDataTable[Account Name and Number], RawDataTable[Investment Date], "MISSING VALUE"),
       IF(ISNUMBER(_xlpm.lookupResult), _xlpm.lookupResult, "INVALID VALUE")
   )
)</f>
        <v>Empty Row</v>
      </c>
      <c r="F55" s="29" t="str">
        <f>IF(D55="Empty Row", "Empty Row",
   _xlfn.LET(
       _xlpm.lookupResult, _xlfn.XLOOKUP(D55, RawDataTable[Account Name and Number], RawDataTable[Investment Amount], "MISSING VALUE"),
       IF(ISNUMBER(_xlpm.lookupResult), _xlpm.lookupResult, "INVALID VALUE")
   )
)</f>
        <v>Empty Row</v>
      </c>
      <c r="G55" s="28" t="str">
        <f t="shared" ca="1" si="0"/>
        <v>Empty Row</v>
      </c>
      <c r="H55" s="29" t="str">
        <f>IF(D55="Empty Row", "Empty Row",
   _xlfn.LET(
       _xlpm.lookupResult, _xlfn.XLOOKUP(D55, RawDataTable[Account Name and Number], RawDataTable[Valuation Amount], "MISSING VALUE"),
       IF(ISNUMBER(_xlpm.lookupResult), _xlpm.lookupResult, "INVALID VALUE")
   )
)</f>
        <v>Empty Row</v>
      </c>
      <c r="I55" s="2" t="str">
        <f>IF(D55="Empty Row", "Empty Row", IF(_xlfn.XLOOKUP(B55, MasterTable[IRA Custodian], MasterTable[Address], "")="", "NO STREET NAME FOUND", _xlfn.XLOOKUP(B55, MasterTable[IRA Custodian], MasterTable[Address], "")))</f>
        <v>Empty Row</v>
      </c>
      <c r="J55" s="2" t="str">
        <f>IF(D55="Empty Row", "Empty Row",
   IF(OR(
       _xlfn.XLOOKUP(B55, MasterTable[IRA Custodian], MasterTable[City], "")="",
       _xlfn.XLOOKUP(B55, MasterTable[IRA Custodian], MasterTable[State], "")="",
       _xlfn.XLOOKUP(B55, MasterTable[IRA Custodian], MasterTable[Zip], "")=""),
       "INCOMPLETE ADDRESS",
       _xlfn.CONCAT(
           _xlfn.XLOOKUP(B55, MasterTable[IRA Custodian], MasterTable[City], ""), ", ",
           _xlfn.XLOOKUP(B55, MasterTable[IRA Custodian], MasterTable[State], ""), " ",
           _xlfn.XLOOKUP(B55, MasterTable[IRA Custodian], MasterTable[Zip], "")
       )
   )
)</f>
        <v>Empty Row</v>
      </c>
    </row>
    <row r="56" spans="1:10" x14ac:dyDescent="0.25">
      <c r="A56" t="str">
        <f>IF(D56="Empty Row", "Empty Row",
   _xlfn.LET(
       _xlpm.lookupResult, _xlfn.XLOOKUP(D56, RawDataTable[Account Name and Number], RawDataTable[Entity], "RAW DATA MISSING"),
       IF(ISBLANK(_xlpm.lookupResult), "RAW DATA MISSING", _xlpm.lookupResult)
   )
)</f>
        <v>Empty Row</v>
      </c>
      <c r="B56" t="str">
        <f>IF(D56="Empty Row", "Empty Row",
   _xlfn.LET(
       _xlpm.rawDataLookup, _xlfn.XLOOKUP(D56,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56" s="56" t="str" cm="1">
        <f t="array" ref="C56">IF(D56="Empty Row", "Empty Row",
   IF(COUNTIF('Name Mapping'!H:AD, D56) &gt; 0,
      INDEX('Name Mapping'!F:F, MATCH(TRUE, MMULT(--('Name Mapping'!H:AD=D56), TRANSPOSE(COLUMN('Name Mapping'!H:AD)^0)) &gt; 0, 0)),
      "")
)</f>
        <v>Empty Row</v>
      </c>
      <c r="D56" t="str">
        <f>IF(RawDataTable[[#This Row],[Account Name and Number]]&lt;&gt;"", RawDataTable[[#This Row],[Account Name and Number]], "Empty Row")</f>
        <v>Empty Row</v>
      </c>
      <c r="E56" s="28" t="str">
        <f>IF(D56="Empty Row", "Empty Row",
   _xlfn.LET(
       _xlpm.lookupResult, _xlfn.XLOOKUP(D56, RawDataTable[Account Name and Number], RawDataTable[Investment Date], "MISSING VALUE"),
       IF(ISNUMBER(_xlpm.lookupResult), _xlpm.lookupResult, "INVALID VALUE")
   )
)</f>
        <v>Empty Row</v>
      </c>
      <c r="F56" s="29" t="str">
        <f>IF(D56="Empty Row", "Empty Row",
   _xlfn.LET(
       _xlpm.lookupResult, _xlfn.XLOOKUP(D56, RawDataTable[Account Name and Number], RawDataTable[Investment Amount], "MISSING VALUE"),
       IF(ISNUMBER(_xlpm.lookupResult), _xlpm.lookupResult, "INVALID VALUE")
   )
)</f>
        <v>Empty Row</v>
      </c>
      <c r="G56" s="28" t="str">
        <f t="shared" ca="1" si="0"/>
        <v>Empty Row</v>
      </c>
      <c r="H56" s="29" t="str">
        <f>IF(D56="Empty Row", "Empty Row",
   _xlfn.LET(
       _xlpm.lookupResult, _xlfn.XLOOKUP(D56, RawDataTable[Account Name and Number], RawDataTable[Valuation Amount], "MISSING VALUE"),
       IF(ISNUMBER(_xlpm.lookupResult), _xlpm.lookupResult, "INVALID VALUE")
   )
)</f>
        <v>Empty Row</v>
      </c>
      <c r="I56" s="2" t="str">
        <f>IF(D56="Empty Row", "Empty Row", IF(_xlfn.XLOOKUP(B56, MasterTable[IRA Custodian], MasterTable[Address], "")="", "NO STREET NAME FOUND", _xlfn.XLOOKUP(B56, MasterTable[IRA Custodian], MasterTable[Address], "")))</f>
        <v>Empty Row</v>
      </c>
      <c r="J56" s="2" t="str">
        <f>IF(D56="Empty Row", "Empty Row",
   IF(OR(
       _xlfn.XLOOKUP(B56, MasterTable[IRA Custodian], MasterTable[City], "")="",
       _xlfn.XLOOKUP(B56, MasterTable[IRA Custodian], MasterTable[State], "")="",
       _xlfn.XLOOKUP(B56, MasterTable[IRA Custodian], MasterTable[Zip], "")=""),
       "INCOMPLETE ADDRESS",
       _xlfn.CONCAT(
           _xlfn.XLOOKUP(B56, MasterTable[IRA Custodian], MasterTable[City], ""), ", ",
           _xlfn.XLOOKUP(B56, MasterTable[IRA Custodian], MasterTable[State], ""), " ",
           _xlfn.XLOOKUP(B56, MasterTable[IRA Custodian], MasterTable[Zip], "")
       )
   )
)</f>
        <v>Empty Row</v>
      </c>
    </row>
    <row r="57" spans="1:10" x14ac:dyDescent="0.25">
      <c r="A57" t="str">
        <f>IF(D57="Empty Row", "Empty Row",
   _xlfn.LET(
       _xlpm.lookupResult, _xlfn.XLOOKUP(D57, RawDataTable[Account Name and Number], RawDataTable[Entity], "RAW DATA MISSING"),
       IF(ISBLANK(_xlpm.lookupResult), "RAW DATA MISSING", _xlpm.lookupResult)
   )
)</f>
        <v>Empty Row</v>
      </c>
      <c r="B57" t="str">
        <f>IF(D57="Empty Row", "Empty Row",
   _xlfn.LET(
       _xlpm.rawDataLookup, _xlfn.XLOOKUP(D57,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57" s="56" t="str" cm="1">
        <f t="array" ref="C57">IF(D57="Empty Row", "Empty Row",
   IF(COUNTIF('Name Mapping'!H:AD, D57) &gt; 0,
      INDEX('Name Mapping'!F:F, MATCH(TRUE, MMULT(--('Name Mapping'!H:AD=D57), TRANSPOSE(COLUMN('Name Mapping'!H:AD)^0)) &gt; 0, 0)),
      "")
)</f>
        <v>Empty Row</v>
      </c>
      <c r="D57" t="str">
        <f>IF(RawDataTable[[#This Row],[Account Name and Number]]&lt;&gt;"", RawDataTable[[#This Row],[Account Name and Number]], "Empty Row")</f>
        <v>Empty Row</v>
      </c>
      <c r="E57" s="28" t="str">
        <f>IF(D57="Empty Row", "Empty Row",
   _xlfn.LET(
       _xlpm.lookupResult, _xlfn.XLOOKUP(D57, RawDataTable[Account Name and Number], RawDataTable[Investment Date], "MISSING VALUE"),
       IF(ISNUMBER(_xlpm.lookupResult), _xlpm.lookupResult, "INVALID VALUE")
   )
)</f>
        <v>Empty Row</v>
      </c>
      <c r="F57" s="29" t="str">
        <f>IF(D57="Empty Row", "Empty Row",
   _xlfn.LET(
       _xlpm.lookupResult, _xlfn.XLOOKUP(D57, RawDataTable[Account Name and Number], RawDataTable[Investment Amount], "MISSING VALUE"),
       IF(ISNUMBER(_xlpm.lookupResult), _xlpm.lookupResult, "INVALID VALUE")
   )
)</f>
        <v>Empty Row</v>
      </c>
      <c r="G57" s="28" t="str">
        <f t="shared" ca="1" si="0"/>
        <v>Empty Row</v>
      </c>
      <c r="H57" s="29" t="str">
        <f>IF(D57="Empty Row", "Empty Row",
   _xlfn.LET(
       _xlpm.lookupResult, _xlfn.XLOOKUP(D57, RawDataTable[Account Name and Number], RawDataTable[Valuation Amount], "MISSING VALUE"),
       IF(ISNUMBER(_xlpm.lookupResult), _xlpm.lookupResult, "INVALID VALUE")
   )
)</f>
        <v>Empty Row</v>
      </c>
      <c r="I57" s="2" t="str">
        <f>IF(D57="Empty Row", "Empty Row", IF(_xlfn.XLOOKUP(B57, MasterTable[IRA Custodian], MasterTable[Address], "")="", "NO STREET NAME FOUND", _xlfn.XLOOKUP(B57, MasterTable[IRA Custodian], MasterTable[Address], "")))</f>
        <v>Empty Row</v>
      </c>
      <c r="J57" s="2" t="str">
        <f>IF(D57="Empty Row", "Empty Row",
   IF(OR(
       _xlfn.XLOOKUP(B57, MasterTable[IRA Custodian], MasterTable[City], "")="",
       _xlfn.XLOOKUP(B57, MasterTable[IRA Custodian], MasterTable[State], "")="",
       _xlfn.XLOOKUP(B57, MasterTable[IRA Custodian], MasterTable[Zip], "")=""),
       "INCOMPLETE ADDRESS",
       _xlfn.CONCAT(
           _xlfn.XLOOKUP(B57, MasterTable[IRA Custodian], MasterTable[City], ""), ", ",
           _xlfn.XLOOKUP(B57, MasterTable[IRA Custodian], MasterTable[State], ""), " ",
           _xlfn.XLOOKUP(B57, MasterTable[IRA Custodian], MasterTable[Zip], "")
       )
   )
)</f>
        <v>Empty Row</v>
      </c>
    </row>
    <row r="58" spans="1:10" x14ac:dyDescent="0.25">
      <c r="A58" t="str">
        <f>IF(D58="Empty Row", "Empty Row",
   _xlfn.LET(
       _xlpm.lookupResult, _xlfn.XLOOKUP(D58, RawDataTable[Account Name and Number], RawDataTable[Entity], "RAW DATA MISSING"),
       IF(ISBLANK(_xlpm.lookupResult), "RAW DATA MISSING", _xlpm.lookupResult)
   )
)</f>
        <v>Empty Row</v>
      </c>
      <c r="B58" t="str">
        <f>IF(D58="Empty Row", "Empty Row",
   _xlfn.LET(
       _xlpm.rawDataLookup, _xlfn.XLOOKUP(D58,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58" s="56" t="str" cm="1">
        <f t="array" ref="C58">IF(D58="Empty Row", "Empty Row",
   IF(COUNTIF('Name Mapping'!H:AD, D58) &gt; 0,
      INDEX('Name Mapping'!F:F, MATCH(TRUE, MMULT(--('Name Mapping'!H:AD=D58), TRANSPOSE(COLUMN('Name Mapping'!H:AD)^0)) &gt; 0, 0)),
      "")
)</f>
        <v>Empty Row</v>
      </c>
      <c r="D58" t="str">
        <f>IF(RawDataTable[[#This Row],[Account Name and Number]]&lt;&gt;"", RawDataTable[[#This Row],[Account Name and Number]], "Empty Row")</f>
        <v>Empty Row</v>
      </c>
      <c r="E58" s="28" t="str">
        <f>IF(D58="Empty Row", "Empty Row",
   _xlfn.LET(
       _xlpm.lookupResult, _xlfn.XLOOKUP(D58, RawDataTable[Account Name and Number], RawDataTable[Investment Date], "MISSING VALUE"),
       IF(ISNUMBER(_xlpm.lookupResult), _xlpm.lookupResult, "INVALID VALUE")
   )
)</f>
        <v>Empty Row</v>
      </c>
      <c r="F58" s="29" t="str">
        <f>IF(D58="Empty Row", "Empty Row",
   _xlfn.LET(
       _xlpm.lookupResult, _xlfn.XLOOKUP(D58, RawDataTable[Account Name and Number], RawDataTable[Investment Amount], "MISSING VALUE"),
       IF(ISNUMBER(_xlpm.lookupResult), _xlpm.lookupResult, "INVALID VALUE")
   )
)</f>
        <v>Empty Row</v>
      </c>
      <c r="G58" s="28" t="str">
        <f t="shared" ca="1" si="0"/>
        <v>Empty Row</v>
      </c>
      <c r="H58" s="29" t="str">
        <f>IF(D58="Empty Row", "Empty Row",
   _xlfn.LET(
       _xlpm.lookupResult, _xlfn.XLOOKUP(D58, RawDataTable[Account Name and Number], RawDataTable[Valuation Amount], "MISSING VALUE"),
       IF(ISNUMBER(_xlpm.lookupResult), _xlpm.lookupResult, "INVALID VALUE")
   )
)</f>
        <v>Empty Row</v>
      </c>
      <c r="I58" s="2" t="str">
        <f>IF(D58="Empty Row", "Empty Row", IF(_xlfn.XLOOKUP(B58, MasterTable[IRA Custodian], MasterTable[Address], "")="", "NO STREET NAME FOUND", _xlfn.XLOOKUP(B58, MasterTable[IRA Custodian], MasterTable[Address], "")))</f>
        <v>Empty Row</v>
      </c>
      <c r="J58" s="2" t="str">
        <f>IF(D58="Empty Row", "Empty Row",
   IF(OR(
       _xlfn.XLOOKUP(B58, MasterTable[IRA Custodian], MasterTable[City], "")="",
       _xlfn.XLOOKUP(B58, MasterTable[IRA Custodian], MasterTable[State], "")="",
       _xlfn.XLOOKUP(B58, MasterTable[IRA Custodian], MasterTable[Zip], "")=""),
       "INCOMPLETE ADDRESS",
       _xlfn.CONCAT(
           _xlfn.XLOOKUP(B58, MasterTable[IRA Custodian], MasterTable[City], ""), ", ",
           _xlfn.XLOOKUP(B58, MasterTable[IRA Custodian], MasterTable[State], ""), " ",
           _xlfn.XLOOKUP(B58, MasterTable[IRA Custodian], MasterTable[Zip], "")
       )
   )
)</f>
        <v>Empty Row</v>
      </c>
    </row>
    <row r="59" spans="1:10" x14ac:dyDescent="0.25">
      <c r="A59" t="str">
        <f>IF(D59="Empty Row", "Empty Row",
   _xlfn.LET(
       _xlpm.lookupResult, _xlfn.XLOOKUP(D59, RawDataTable[Account Name and Number], RawDataTable[Entity], "RAW DATA MISSING"),
       IF(ISBLANK(_xlpm.lookupResult), "RAW DATA MISSING", _xlpm.lookupResult)
   )
)</f>
        <v>Empty Row</v>
      </c>
      <c r="B59" t="str">
        <f>IF(D59="Empty Row", "Empty Row",
   _xlfn.LET(
       _xlpm.rawDataLookup, _xlfn.XLOOKUP(D59,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59" s="56" t="str" cm="1">
        <f t="array" ref="C59">IF(D59="Empty Row", "Empty Row",
   IF(COUNTIF('Name Mapping'!H:AD, D59) &gt; 0,
      INDEX('Name Mapping'!F:F, MATCH(TRUE, MMULT(--('Name Mapping'!H:AD=D59), TRANSPOSE(COLUMN('Name Mapping'!H:AD)^0)) &gt; 0, 0)),
      "")
)</f>
        <v>Empty Row</v>
      </c>
      <c r="D59" t="str">
        <f>IF(RawDataTable[[#This Row],[Account Name and Number]]&lt;&gt;"", RawDataTable[[#This Row],[Account Name and Number]], "Empty Row")</f>
        <v>Empty Row</v>
      </c>
      <c r="E59" s="28" t="str">
        <f>IF(D59="Empty Row", "Empty Row",
   _xlfn.LET(
       _xlpm.lookupResult, _xlfn.XLOOKUP(D59, RawDataTable[Account Name and Number], RawDataTable[Investment Date], "MISSING VALUE"),
       IF(ISNUMBER(_xlpm.lookupResult), _xlpm.lookupResult, "INVALID VALUE")
   )
)</f>
        <v>Empty Row</v>
      </c>
      <c r="F59" s="29" t="str">
        <f>IF(D59="Empty Row", "Empty Row",
   _xlfn.LET(
       _xlpm.lookupResult, _xlfn.XLOOKUP(D59, RawDataTable[Account Name and Number], RawDataTable[Investment Amount], "MISSING VALUE"),
       IF(ISNUMBER(_xlpm.lookupResult), _xlpm.lookupResult, "INVALID VALUE")
   )
)</f>
        <v>Empty Row</v>
      </c>
      <c r="G59" s="28" t="str">
        <f t="shared" ca="1" si="0"/>
        <v>Empty Row</v>
      </c>
      <c r="H59" s="29" t="str">
        <f>IF(D59="Empty Row", "Empty Row",
   _xlfn.LET(
       _xlpm.lookupResult, _xlfn.XLOOKUP(D59, RawDataTable[Account Name and Number], RawDataTable[Valuation Amount], "MISSING VALUE"),
       IF(ISNUMBER(_xlpm.lookupResult), _xlpm.lookupResult, "INVALID VALUE")
   )
)</f>
        <v>Empty Row</v>
      </c>
      <c r="I59" s="2" t="str">
        <f>IF(D59="Empty Row", "Empty Row", IF(_xlfn.XLOOKUP(B59, MasterTable[IRA Custodian], MasterTable[Address], "")="", "NO STREET NAME FOUND", _xlfn.XLOOKUP(B59, MasterTable[IRA Custodian], MasterTable[Address], "")))</f>
        <v>Empty Row</v>
      </c>
      <c r="J59" s="2" t="str">
        <f>IF(D59="Empty Row", "Empty Row",
   IF(OR(
       _xlfn.XLOOKUP(B59, MasterTable[IRA Custodian], MasterTable[City], "")="",
       _xlfn.XLOOKUP(B59, MasterTable[IRA Custodian], MasterTable[State], "")="",
       _xlfn.XLOOKUP(B59, MasterTable[IRA Custodian], MasterTable[Zip], "")=""),
       "INCOMPLETE ADDRESS",
       _xlfn.CONCAT(
           _xlfn.XLOOKUP(B59, MasterTable[IRA Custodian], MasterTable[City], ""), ", ",
           _xlfn.XLOOKUP(B59, MasterTable[IRA Custodian], MasterTable[State], ""), " ",
           _xlfn.XLOOKUP(B59, MasterTable[IRA Custodian], MasterTable[Zip], "")
       )
   )
)</f>
        <v>Empty Row</v>
      </c>
    </row>
    <row r="60" spans="1:10" x14ac:dyDescent="0.25">
      <c r="A60" t="str">
        <f>IF(D60="Empty Row", "Empty Row",
   _xlfn.LET(
       _xlpm.lookupResult, _xlfn.XLOOKUP(D60, RawDataTable[Account Name and Number], RawDataTable[Entity], "RAW DATA MISSING"),
       IF(ISBLANK(_xlpm.lookupResult), "RAW DATA MISSING", _xlpm.lookupResult)
   )
)</f>
        <v>Empty Row</v>
      </c>
      <c r="B60" t="str">
        <f>IF(D60="Empty Row", "Empty Row",
   _xlfn.LET(
       _xlpm.rawDataLookup, _xlfn.XLOOKUP(D60,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60" s="56" t="str" cm="1">
        <f t="array" ref="C60">IF(D60="Empty Row", "Empty Row",
   IF(COUNTIF('Name Mapping'!H:AD, D60) &gt; 0,
      INDEX('Name Mapping'!F:F, MATCH(TRUE, MMULT(--('Name Mapping'!H:AD=D60), TRANSPOSE(COLUMN('Name Mapping'!H:AD)^0)) &gt; 0, 0)),
      "")
)</f>
        <v>Empty Row</v>
      </c>
      <c r="D60" t="str">
        <f>IF(RawDataTable[[#This Row],[Account Name and Number]]&lt;&gt;"", RawDataTable[[#This Row],[Account Name and Number]], "Empty Row")</f>
        <v>Empty Row</v>
      </c>
      <c r="E60" s="28" t="str">
        <f>IF(D60="Empty Row", "Empty Row",
   _xlfn.LET(
       _xlpm.lookupResult, _xlfn.XLOOKUP(D60, RawDataTable[Account Name and Number], RawDataTable[Investment Date], "MISSING VALUE"),
       IF(ISNUMBER(_xlpm.lookupResult), _xlpm.lookupResult, "INVALID VALUE")
   )
)</f>
        <v>Empty Row</v>
      </c>
      <c r="F60" s="29" t="str">
        <f>IF(D60="Empty Row", "Empty Row",
   _xlfn.LET(
       _xlpm.lookupResult, _xlfn.XLOOKUP(D60, RawDataTable[Account Name and Number], RawDataTable[Investment Amount], "MISSING VALUE"),
       IF(ISNUMBER(_xlpm.lookupResult), _xlpm.lookupResult, "INVALID VALUE")
   )
)</f>
        <v>Empty Row</v>
      </c>
      <c r="G60" s="28" t="str">
        <f t="shared" ca="1" si="0"/>
        <v>Empty Row</v>
      </c>
      <c r="H60" s="29" t="str">
        <f>IF(D60="Empty Row", "Empty Row",
   _xlfn.LET(
       _xlpm.lookupResult, _xlfn.XLOOKUP(D60, RawDataTable[Account Name and Number], RawDataTable[Valuation Amount], "MISSING VALUE"),
       IF(ISNUMBER(_xlpm.lookupResult), _xlpm.lookupResult, "INVALID VALUE")
   )
)</f>
        <v>Empty Row</v>
      </c>
      <c r="I60" s="2" t="str">
        <f>IF(D60="Empty Row", "Empty Row", IF(_xlfn.XLOOKUP(B60, MasterTable[IRA Custodian], MasterTable[Address], "")="", "NO STREET NAME FOUND", _xlfn.XLOOKUP(B60, MasterTable[IRA Custodian], MasterTable[Address], "")))</f>
        <v>Empty Row</v>
      </c>
      <c r="J60" s="2" t="str">
        <f>IF(D60="Empty Row", "Empty Row",
   IF(OR(
       _xlfn.XLOOKUP(B60, MasterTable[IRA Custodian], MasterTable[City], "")="",
       _xlfn.XLOOKUP(B60, MasterTable[IRA Custodian], MasterTable[State], "")="",
       _xlfn.XLOOKUP(B60, MasterTable[IRA Custodian], MasterTable[Zip], "")=""),
       "INCOMPLETE ADDRESS",
       _xlfn.CONCAT(
           _xlfn.XLOOKUP(B60, MasterTable[IRA Custodian], MasterTable[City], ""), ", ",
           _xlfn.XLOOKUP(B60, MasterTable[IRA Custodian], MasterTable[State], ""), " ",
           _xlfn.XLOOKUP(B60, MasterTable[IRA Custodian], MasterTable[Zip], "")
       )
   )
)</f>
        <v>Empty Row</v>
      </c>
    </row>
    <row r="61" spans="1:10" x14ac:dyDescent="0.25">
      <c r="A61" t="str">
        <f>IF(D61="Empty Row", "Empty Row",
   _xlfn.LET(
       _xlpm.lookupResult, _xlfn.XLOOKUP(D61, RawDataTable[Account Name and Number], RawDataTable[Entity], "RAW DATA MISSING"),
       IF(ISBLANK(_xlpm.lookupResult), "RAW DATA MISSING", _xlpm.lookupResult)
   )
)</f>
        <v>Empty Row</v>
      </c>
      <c r="B61" t="str">
        <f>IF(D61="Empty Row", "Empty Row",
   _xlfn.LET(
       _xlpm.rawDataLookup, _xlfn.XLOOKUP(D61,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61" s="56" t="str" cm="1">
        <f t="array" ref="C61">IF(D61="Empty Row", "Empty Row",
   IF(COUNTIF('Name Mapping'!H:AD, D61) &gt; 0,
      INDEX('Name Mapping'!F:F, MATCH(TRUE, MMULT(--('Name Mapping'!H:AD=D61), TRANSPOSE(COLUMN('Name Mapping'!H:AD)^0)) &gt; 0, 0)),
      "")
)</f>
        <v>Empty Row</v>
      </c>
      <c r="D61" t="str">
        <f>IF(RawDataTable[[#This Row],[Account Name and Number]]&lt;&gt;"", RawDataTable[[#This Row],[Account Name and Number]], "Empty Row")</f>
        <v>Empty Row</v>
      </c>
      <c r="E61" s="28" t="str">
        <f>IF(D61="Empty Row", "Empty Row",
   _xlfn.LET(
       _xlpm.lookupResult, _xlfn.XLOOKUP(D61, RawDataTable[Account Name and Number], RawDataTable[Investment Date], "MISSING VALUE"),
       IF(ISNUMBER(_xlpm.lookupResult), _xlpm.lookupResult, "INVALID VALUE")
   )
)</f>
        <v>Empty Row</v>
      </c>
      <c r="F61" s="29" t="str">
        <f>IF(D61="Empty Row", "Empty Row",
   _xlfn.LET(
       _xlpm.lookupResult, _xlfn.XLOOKUP(D61, RawDataTable[Account Name and Number], RawDataTable[Investment Amount], "MISSING VALUE"),
       IF(ISNUMBER(_xlpm.lookupResult), _xlpm.lookupResult, "INVALID VALUE")
   )
)</f>
        <v>Empty Row</v>
      </c>
      <c r="G61" s="28" t="str">
        <f t="shared" ca="1" si="0"/>
        <v>Empty Row</v>
      </c>
      <c r="H61" s="29" t="str">
        <f>IF(D61="Empty Row", "Empty Row",
   _xlfn.LET(
       _xlpm.lookupResult, _xlfn.XLOOKUP(D61, RawDataTable[Account Name and Number], RawDataTable[Valuation Amount], "MISSING VALUE"),
       IF(ISNUMBER(_xlpm.lookupResult), _xlpm.lookupResult, "INVALID VALUE")
   )
)</f>
        <v>Empty Row</v>
      </c>
      <c r="I61" s="2" t="str">
        <f>IF(D61="Empty Row", "Empty Row", IF(_xlfn.XLOOKUP(B61, MasterTable[IRA Custodian], MasterTable[Address], "")="", "NO STREET NAME FOUND", _xlfn.XLOOKUP(B61, MasterTable[IRA Custodian], MasterTable[Address], "")))</f>
        <v>Empty Row</v>
      </c>
      <c r="J61" s="2" t="str">
        <f>IF(D61="Empty Row", "Empty Row",
   IF(OR(
       _xlfn.XLOOKUP(B61, MasterTable[IRA Custodian], MasterTable[City], "")="",
       _xlfn.XLOOKUP(B61, MasterTable[IRA Custodian], MasterTable[State], "")="",
       _xlfn.XLOOKUP(B61, MasterTable[IRA Custodian], MasterTable[Zip], "")=""),
       "INCOMPLETE ADDRESS",
       _xlfn.CONCAT(
           _xlfn.XLOOKUP(B61, MasterTable[IRA Custodian], MasterTable[City], ""), ", ",
           _xlfn.XLOOKUP(B61, MasterTable[IRA Custodian], MasterTable[State], ""), " ",
           _xlfn.XLOOKUP(B61, MasterTable[IRA Custodian], MasterTable[Zip], "")
       )
   )
)</f>
        <v>Empty Row</v>
      </c>
    </row>
    <row r="62" spans="1:10" x14ac:dyDescent="0.25">
      <c r="A62" t="str">
        <f>IF(D62="Empty Row", "Empty Row",
   _xlfn.LET(
       _xlpm.lookupResult, _xlfn.XLOOKUP(D62, RawDataTable[Account Name and Number], RawDataTable[Entity], "RAW DATA MISSING"),
       IF(ISBLANK(_xlpm.lookupResult), "RAW DATA MISSING", _xlpm.lookupResult)
   )
)</f>
        <v>Empty Row</v>
      </c>
      <c r="B62" t="str">
        <f>IF(D62="Empty Row", "Empty Row",
   _xlfn.LET(
       _xlpm.rawDataLookup, _xlfn.XLOOKUP(D62,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62" s="56" t="str" cm="1">
        <f t="array" ref="C62">IF(D62="Empty Row", "Empty Row",
   IF(COUNTIF('Name Mapping'!H:AD, D62) &gt; 0,
      INDEX('Name Mapping'!F:F, MATCH(TRUE, MMULT(--('Name Mapping'!H:AD=D62), TRANSPOSE(COLUMN('Name Mapping'!H:AD)^0)) &gt; 0, 0)),
      "")
)</f>
        <v>Empty Row</v>
      </c>
      <c r="D62" t="str">
        <f>IF(RawDataTable[[#This Row],[Account Name and Number]]&lt;&gt;"", RawDataTable[[#This Row],[Account Name and Number]], "Empty Row")</f>
        <v>Empty Row</v>
      </c>
      <c r="E62" s="28" t="str">
        <f>IF(D62="Empty Row", "Empty Row",
   _xlfn.LET(
       _xlpm.lookupResult, _xlfn.XLOOKUP(D62, RawDataTable[Account Name and Number], RawDataTable[Investment Date], "MISSING VALUE"),
       IF(ISNUMBER(_xlpm.lookupResult), _xlpm.lookupResult, "INVALID VALUE")
   )
)</f>
        <v>Empty Row</v>
      </c>
      <c r="F62" s="29" t="str">
        <f>IF(D62="Empty Row", "Empty Row",
   _xlfn.LET(
       _xlpm.lookupResult, _xlfn.XLOOKUP(D62, RawDataTable[Account Name and Number], RawDataTable[Investment Amount], "MISSING VALUE"),
       IF(ISNUMBER(_xlpm.lookupResult), _xlpm.lookupResult, "INVALID VALUE")
   )
)</f>
        <v>Empty Row</v>
      </c>
      <c r="G62" s="28" t="str">
        <f t="shared" ca="1" si="0"/>
        <v>Empty Row</v>
      </c>
      <c r="H62" s="29" t="str">
        <f>IF(D62="Empty Row", "Empty Row",
   _xlfn.LET(
       _xlpm.lookupResult, _xlfn.XLOOKUP(D62, RawDataTable[Account Name and Number], RawDataTable[Valuation Amount], "MISSING VALUE"),
       IF(ISNUMBER(_xlpm.lookupResult), _xlpm.lookupResult, "INVALID VALUE")
   )
)</f>
        <v>Empty Row</v>
      </c>
      <c r="I62" s="2" t="str">
        <f>IF(D62="Empty Row", "Empty Row", IF(_xlfn.XLOOKUP(B62, MasterTable[IRA Custodian], MasterTable[Address], "")="", "NO STREET NAME FOUND", _xlfn.XLOOKUP(B62, MasterTable[IRA Custodian], MasterTable[Address], "")))</f>
        <v>Empty Row</v>
      </c>
      <c r="J62" s="2" t="str">
        <f>IF(D62="Empty Row", "Empty Row",
   IF(OR(
       _xlfn.XLOOKUP(B62, MasterTable[IRA Custodian], MasterTable[City], "")="",
       _xlfn.XLOOKUP(B62, MasterTable[IRA Custodian], MasterTable[State], "")="",
       _xlfn.XLOOKUP(B62, MasterTable[IRA Custodian], MasterTable[Zip], "")=""),
       "INCOMPLETE ADDRESS",
       _xlfn.CONCAT(
           _xlfn.XLOOKUP(B62, MasterTable[IRA Custodian], MasterTable[City], ""), ", ",
           _xlfn.XLOOKUP(B62, MasterTable[IRA Custodian], MasterTable[State], ""), " ",
           _xlfn.XLOOKUP(B62, MasterTable[IRA Custodian], MasterTable[Zip], "")
       )
   )
)</f>
        <v>Empty Row</v>
      </c>
    </row>
    <row r="63" spans="1:10" x14ac:dyDescent="0.25">
      <c r="A63" t="str">
        <f>IF(D63="Empty Row", "Empty Row",
   _xlfn.LET(
       _xlpm.lookupResult, _xlfn.XLOOKUP(D63, RawDataTable[Account Name and Number], RawDataTable[Entity], "RAW DATA MISSING"),
       IF(ISBLANK(_xlpm.lookupResult), "RAW DATA MISSING", _xlpm.lookupResult)
   )
)</f>
        <v>Empty Row</v>
      </c>
      <c r="B63" t="str">
        <f>IF(D63="Empty Row", "Empty Row",
   _xlfn.LET(
       _xlpm.rawDataLookup, _xlfn.XLOOKUP(D63,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63" s="56" t="str" cm="1">
        <f t="array" ref="C63">IF(D63="Empty Row", "Empty Row",
   IF(COUNTIF('Name Mapping'!H:AD, D63) &gt; 0,
      INDEX('Name Mapping'!F:F, MATCH(TRUE, MMULT(--('Name Mapping'!H:AD=D63), TRANSPOSE(COLUMN('Name Mapping'!H:AD)^0)) &gt; 0, 0)),
      "")
)</f>
        <v>Empty Row</v>
      </c>
      <c r="D63" t="str">
        <f>IF(RawDataTable[[#This Row],[Account Name and Number]]&lt;&gt;"", RawDataTable[[#This Row],[Account Name and Number]], "Empty Row")</f>
        <v>Empty Row</v>
      </c>
      <c r="E63" s="28" t="str">
        <f>IF(D63="Empty Row", "Empty Row",
   _xlfn.LET(
       _xlpm.lookupResult, _xlfn.XLOOKUP(D63, RawDataTable[Account Name and Number], RawDataTable[Investment Date], "MISSING VALUE"),
       IF(ISNUMBER(_xlpm.lookupResult), _xlpm.lookupResult, "INVALID VALUE")
   )
)</f>
        <v>Empty Row</v>
      </c>
      <c r="F63" s="29" t="str">
        <f>IF(D63="Empty Row", "Empty Row",
   _xlfn.LET(
       _xlpm.lookupResult, _xlfn.XLOOKUP(D63, RawDataTable[Account Name and Number], RawDataTable[Investment Amount], "MISSING VALUE"),
       IF(ISNUMBER(_xlpm.lookupResult), _xlpm.lookupResult, "INVALID VALUE")
   )
)</f>
        <v>Empty Row</v>
      </c>
      <c r="G63" s="28" t="str">
        <f t="shared" ca="1" si="0"/>
        <v>Empty Row</v>
      </c>
      <c r="H63" s="29" t="str">
        <f>IF(D63="Empty Row", "Empty Row",
   _xlfn.LET(
       _xlpm.lookupResult, _xlfn.XLOOKUP(D63, RawDataTable[Account Name and Number], RawDataTable[Valuation Amount], "MISSING VALUE"),
       IF(ISNUMBER(_xlpm.lookupResult), _xlpm.lookupResult, "INVALID VALUE")
   )
)</f>
        <v>Empty Row</v>
      </c>
      <c r="I63" s="2" t="str">
        <f>IF(D63="Empty Row", "Empty Row", IF(_xlfn.XLOOKUP(B63, MasterTable[IRA Custodian], MasterTable[Address], "")="", "NO STREET NAME FOUND", _xlfn.XLOOKUP(B63, MasterTable[IRA Custodian], MasterTable[Address], "")))</f>
        <v>Empty Row</v>
      </c>
      <c r="J63" s="2" t="str">
        <f>IF(D63="Empty Row", "Empty Row",
   IF(OR(
       _xlfn.XLOOKUP(B63, MasterTable[IRA Custodian], MasterTable[City], "")="",
       _xlfn.XLOOKUP(B63, MasterTable[IRA Custodian], MasterTable[State], "")="",
       _xlfn.XLOOKUP(B63, MasterTable[IRA Custodian], MasterTable[Zip], "")=""),
       "INCOMPLETE ADDRESS",
       _xlfn.CONCAT(
           _xlfn.XLOOKUP(B63, MasterTable[IRA Custodian], MasterTable[City], ""), ", ",
           _xlfn.XLOOKUP(B63, MasterTable[IRA Custodian], MasterTable[State], ""), " ",
           _xlfn.XLOOKUP(B63, MasterTable[IRA Custodian], MasterTable[Zip], "")
       )
   )
)</f>
        <v>Empty Row</v>
      </c>
    </row>
    <row r="64" spans="1:10" x14ac:dyDescent="0.25">
      <c r="A64" t="str">
        <f>IF(D64="Empty Row", "Empty Row",
   _xlfn.LET(
       _xlpm.lookupResult, _xlfn.XLOOKUP(D64, RawDataTable[Account Name and Number], RawDataTable[Entity], "RAW DATA MISSING"),
       IF(ISBLANK(_xlpm.lookupResult), "RAW DATA MISSING", _xlpm.lookupResult)
   )
)</f>
        <v>Empty Row</v>
      </c>
      <c r="B64" t="str">
        <f>IF(D64="Empty Row", "Empty Row",
   _xlfn.LET(
       _xlpm.rawDataLookup, _xlfn.XLOOKUP(D64,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64" s="56" t="str" cm="1">
        <f t="array" ref="C64">IF(D64="Empty Row", "Empty Row",
   IF(COUNTIF('Name Mapping'!H:AD, D64) &gt; 0,
      INDEX('Name Mapping'!F:F, MATCH(TRUE, MMULT(--('Name Mapping'!H:AD=D64), TRANSPOSE(COLUMN('Name Mapping'!H:AD)^0)) &gt; 0, 0)),
      "")
)</f>
        <v>Empty Row</v>
      </c>
      <c r="D64" t="str">
        <f>IF(RawDataTable[[#This Row],[Account Name and Number]]&lt;&gt;"", RawDataTable[[#This Row],[Account Name and Number]], "Empty Row")</f>
        <v>Empty Row</v>
      </c>
      <c r="E64" s="28" t="str">
        <f>IF(D64="Empty Row", "Empty Row",
   _xlfn.LET(
       _xlpm.lookupResult, _xlfn.XLOOKUP(D64, RawDataTable[Account Name and Number], RawDataTable[Investment Date], "MISSING VALUE"),
       IF(ISNUMBER(_xlpm.lookupResult), _xlpm.lookupResult, "INVALID VALUE")
   )
)</f>
        <v>Empty Row</v>
      </c>
      <c r="F64" s="29" t="str">
        <f>IF(D64="Empty Row", "Empty Row",
   _xlfn.LET(
       _xlpm.lookupResult, _xlfn.XLOOKUP(D64, RawDataTable[Account Name and Number], RawDataTable[Investment Amount], "MISSING VALUE"),
       IF(ISNUMBER(_xlpm.lookupResult), _xlpm.lookupResult, "INVALID VALUE")
   )
)</f>
        <v>Empty Row</v>
      </c>
      <c r="G64" s="28" t="str">
        <f t="shared" ca="1" si="0"/>
        <v>Empty Row</v>
      </c>
      <c r="H64" s="29" t="str">
        <f>IF(D64="Empty Row", "Empty Row",
   _xlfn.LET(
       _xlpm.lookupResult, _xlfn.XLOOKUP(D64, RawDataTable[Account Name and Number], RawDataTable[Valuation Amount], "MISSING VALUE"),
       IF(ISNUMBER(_xlpm.lookupResult), _xlpm.lookupResult, "INVALID VALUE")
   )
)</f>
        <v>Empty Row</v>
      </c>
      <c r="I64" s="2" t="str">
        <f>IF(D64="Empty Row", "Empty Row", IF(_xlfn.XLOOKUP(B64, MasterTable[IRA Custodian], MasterTable[Address], "")="", "NO STREET NAME FOUND", _xlfn.XLOOKUP(B64, MasterTable[IRA Custodian], MasterTable[Address], "")))</f>
        <v>Empty Row</v>
      </c>
      <c r="J64" s="2" t="str">
        <f>IF(D64="Empty Row", "Empty Row",
   IF(OR(
       _xlfn.XLOOKUP(B64, MasterTable[IRA Custodian], MasterTable[City], "")="",
       _xlfn.XLOOKUP(B64, MasterTable[IRA Custodian], MasterTable[State], "")="",
       _xlfn.XLOOKUP(B64, MasterTable[IRA Custodian], MasterTable[Zip], "")=""),
       "INCOMPLETE ADDRESS",
       _xlfn.CONCAT(
           _xlfn.XLOOKUP(B64, MasterTable[IRA Custodian], MasterTable[City], ""), ", ",
           _xlfn.XLOOKUP(B64, MasterTable[IRA Custodian], MasterTable[State], ""), " ",
           _xlfn.XLOOKUP(B64, MasterTable[IRA Custodian], MasterTable[Zip], "")
       )
   )
)</f>
        <v>Empty Row</v>
      </c>
    </row>
    <row r="65" spans="1:10" x14ac:dyDescent="0.25">
      <c r="A65" t="str">
        <f>IF(D65="Empty Row", "Empty Row",
   _xlfn.LET(
       _xlpm.lookupResult, _xlfn.XLOOKUP(D65, RawDataTable[Account Name and Number], RawDataTable[Entity], "RAW DATA MISSING"),
       IF(ISBLANK(_xlpm.lookupResult), "RAW DATA MISSING", _xlpm.lookupResult)
   )
)</f>
        <v>Empty Row</v>
      </c>
      <c r="B65" t="str">
        <f>IF(D65="Empty Row", "Empty Row",
   _xlfn.LET(
       _xlpm.rawDataLookup, _xlfn.XLOOKUP(D65,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65" s="56" t="str" cm="1">
        <f t="array" ref="C65">IF(D65="Empty Row", "Empty Row",
   IF(COUNTIF('Name Mapping'!H:AD, D65) &gt; 0,
      INDEX('Name Mapping'!F:F, MATCH(TRUE, MMULT(--('Name Mapping'!H:AD=D65), TRANSPOSE(COLUMN('Name Mapping'!H:AD)^0)) &gt; 0, 0)),
      "")
)</f>
        <v>Empty Row</v>
      </c>
      <c r="D65" t="str">
        <f>IF(RawDataTable[[#This Row],[Account Name and Number]]&lt;&gt;"", RawDataTable[[#This Row],[Account Name and Number]], "Empty Row")</f>
        <v>Empty Row</v>
      </c>
      <c r="E65" s="28" t="str">
        <f>IF(D65="Empty Row", "Empty Row",
   _xlfn.LET(
       _xlpm.lookupResult, _xlfn.XLOOKUP(D65, RawDataTable[Account Name and Number], RawDataTable[Investment Date], "MISSING VALUE"),
       IF(ISNUMBER(_xlpm.lookupResult), _xlpm.lookupResult, "INVALID VALUE")
   )
)</f>
        <v>Empty Row</v>
      </c>
      <c r="F65" s="29" t="str">
        <f>IF(D65="Empty Row", "Empty Row",
   _xlfn.LET(
       _xlpm.lookupResult, _xlfn.XLOOKUP(D65, RawDataTable[Account Name and Number], RawDataTable[Investment Amount], "MISSING VALUE"),
       IF(ISNUMBER(_xlpm.lookupResult), _xlpm.lookupResult, "INVALID VALUE")
   )
)</f>
        <v>Empty Row</v>
      </c>
      <c r="G65" s="28" t="str">
        <f t="shared" ca="1" si="0"/>
        <v>Empty Row</v>
      </c>
      <c r="H65" s="29" t="str">
        <f>IF(D65="Empty Row", "Empty Row",
   _xlfn.LET(
       _xlpm.lookupResult, _xlfn.XLOOKUP(D65, RawDataTable[Account Name and Number], RawDataTable[Valuation Amount], "MISSING VALUE"),
       IF(ISNUMBER(_xlpm.lookupResult), _xlpm.lookupResult, "INVALID VALUE")
   )
)</f>
        <v>Empty Row</v>
      </c>
      <c r="I65" s="2" t="str">
        <f>IF(D65="Empty Row", "Empty Row", IF(_xlfn.XLOOKUP(B65, MasterTable[IRA Custodian], MasterTable[Address], "")="", "NO STREET NAME FOUND", _xlfn.XLOOKUP(B65, MasterTable[IRA Custodian], MasterTable[Address], "")))</f>
        <v>Empty Row</v>
      </c>
      <c r="J65" s="2" t="str">
        <f>IF(D65="Empty Row", "Empty Row",
   IF(OR(
       _xlfn.XLOOKUP(B65, MasterTable[IRA Custodian], MasterTable[City], "")="",
       _xlfn.XLOOKUP(B65, MasterTable[IRA Custodian], MasterTable[State], "")="",
       _xlfn.XLOOKUP(B65, MasterTable[IRA Custodian], MasterTable[Zip], "")=""),
       "INCOMPLETE ADDRESS",
       _xlfn.CONCAT(
           _xlfn.XLOOKUP(B65, MasterTable[IRA Custodian], MasterTable[City], ""), ", ",
           _xlfn.XLOOKUP(B65, MasterTable[IRA Custodian], MasterTable[State], ""), " ",
           _xlfn.XLOOKUP(B65, MasterTable[IRA Custodian], MasterTable[Zip], "")
       )
   )
)</f>
        <v>Empty Row</v>
      </c>
    </row>
    <row r="66" spans="1:10" x14ac:dyDescent="0.25">
      <c r="A66" t="str">
        <f>IF(D66="Empty Row", "Empty Row",
   _xlfn.LET(
       _xlpm.lookupResult, _xlfn.XLOOKUP(D66, RawDataTable[Account Name and Number], RawDataTable[Entity], "RAW DATA MISSING"),
       IF(ISBLANK(_xlpm.lookupResult), "RAW DATA MISSING", _xlpm.lookupResult)
   )
)</f>
        <v>Empty Row</v>
      </c>
      <c r="B66" t="str">
        <f>IF(D66="Empty Row", "Empty Row",
   _xlfn.LET(
       _xlpm.rawDataLookup, _xlfn.XLOOKUP(D66,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66" s="56" t="str" cm="1">
        <f t="array" ref="C66">IF(D66="Empty Row", "Empty Row",
   IF(COUNTIF('Name Mapping'!H:AD, D66) &gt; 0,
      INDEX('Name Mapping'!F:F, MATCH(TRUE, MMULT(--('Name Mapping'!H:AD=D66), TRANSPOSE(COLUMN('Name Mapping'!H:AD)^0)) &gt; 0, 0)),
      "")
)</f>
        <v>Empty Row</v>
      </c>
      <c r="D66" t="str">
        <f>IF(RawDataTable[[#This Row],[Account Name and Number]]&lt;&gt;"", RawDataTable[[#This Row],[Account Name and Number]], "Empty Row")</f>
        <v>Empty Row</v>
      </c>
      <c r="E66" s="28" t="str">
        <f>IF(D66="Empty Row", "Empty Row",
   _xlfn.LET(
       _xlpm.lookupResult, _xlfn.XLOOKUP(D66, RawDataTable[Account Name and Number], RawDataTable[Investment Date], "MISSING VALUE"),
       IF(ISNUMBER(_xlpm.lookupResult), _xlpm.lookupResult, "INVALID VALUE")
   )
)</f>
        <v>Empty Row</v>
      </c>
      <c r="F66" s="29" t="str">
        <f>IF(D66="Empty Row", "Empty Row",
   _xlfn.LET(
       _xlpm.lookupResult, _xlfn.XLOOKUP(D66, RawDataTable[Account Name and Number], RawDataTable[Investment Amount], "MISSING VALUE"),
       IF(ISNUMBER(_xlpm.lookupResult), _xlpm.lookupResult, "INVALID VALUE")
   )
)</f>
        <v>Empty Row</v>
      </c>
      <c r="G66" s="28" t="str">
        <f t="shared" ca="1" si="0"/>
        <v>Empty Row</v>
      </c>
      <c r="H66" s="29" t="str">
        <f>IF(D66="Empty Row", "Empty Row",
   _xlfn.LET(
       _xlpm.lookupResult, _xlfn.XLOOKUP(D66, RawDataTable[Account Name and Number], RawDataTable[Valuation Amount], "MISSING VALUE"),
       IF(ISNUMBER(_xlpm.lookupResult), _xlpm.lookupResult, "INVALID VALUE")
   )
)</f>
        <v>Empty Row</v>
      </c>
      <c r="I66" s="2" t="str">
        <f>IF(D66="Empty Row", "Empty Row", IF(_xlfn.XLOOKUP(B66, MasterTable[IRA Custodian], MasterTable[Address], "")="", "NO STREET NAME FOUND", _xlfn.XLOOKUP(B66, MasterTable[IRA Custodian], MasterTable[Address], "")))</f>
        <v>Empty Row</v>
      </c>
      <c r="J66" s="2" t="str">
        <f>IF(D66="Empty Row", "Empty Row",
   IF(OR(
       _xlfn.XLOOKUP(B66, MasterTable[IRA Custodian], MasterTable[City], "")="",
       _xlfn.XLOOKUP(B66, MasterTable[IRA Custodian], MasterTable[State], "")="",
       _xlfn.XLOOKUP(B66, MasterTable[IRA Custodian], MasterTable[Zip], "")=""),
       "INCOMPLETE ADDRESS",
       _xlfn.CONCAT(
           _xlfn.XLOOKUP(B66, MasterTable[IRA Custodian], MasterTable[City], ""), ", ",
           _xlfn.XLOOKUP(B66, MasterTable[IRA Custodian], MasterTable[State], ""), " ",
           _xlfn.XLOOKUP(B66, MasterTable[IRA Custodian], MasterTable[Zip], "")
       )
   )
)</f>
        <v>Empty Row</v>
      </c>
    </row>
    <row r="67" spans="1:10" x14ac:dyDescent="0.25">
      <c r="A67" t="str">
        <f>IF(D67="Empty Row", "Empty Row",
   _xlfn.LET(
       _xlpm.lookupResult, _xlfn.XLOOKUP(D67, RawDataTable[Account Name and Number], RawDataTable[Entity], "RAW DATA MISSING"),
       IF(ISBLANK(_xlpm.lookupResult), "RAW DATA MISSING", _xlpm.lookupResult)
   )
)</f>
        <v>Empty Row</v>
      </c>
      <c r="B67" t="str">
        <f>IF(D67="Empty Row", "Empty Row",
   _xlfn.LET(
       _xlpm.rawDataLookup, _xlfn.XLOOKUP(D67,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67" s="56" t="str" cm="1">
        <f t="array" ref="C67">IF(D67="Empty Row", "Empty Row",
   IF(COUNTIF('Name Mapping'!H:AD, D67) &gt; 0,
      INDEX('Name Mapping'!F:F, MATCH(TRUE, MMULT(--('Name Mapping'!H:AD=D67), TRANSPOSE(COLUMN('Name Mapping'!H:AD)^0)) &gt; 0, 0)),
      "")
)</f>
        <v>Empty Row</v>
      </c>
      <c r="D67" t="str">
        <f>IF(RawDataTable[[#This Row],[Account Name and Number]]&lt;&gt;"", RawDataTable[[#This Row],[Account Name and Number]], "Empty Row")</f>
        <v>Empty Row</v>
      </c>
      <c r="E67" s="28" t="str">
        <f>IF(D67="Empty Row", "Empty Row",
   _xlfn.LET(
       _xlpm.lookupResult, _xlfn.XLOOKUP(D67, RawDataTable[Account Name and Number], RawDataTable[Investment Date], "MISSING VALUE"),
       IF(ISNUMBER(_xlpm.lookupResult), _xlpm.lookupResult, "INVALID VALUE")
   )
)</f>
        <v>Empty Row</v>
      </c>
      <c r="F67" s="29" t="str">
        <f>IF(D67="Empty Row", "Empty Row",
   _xlfn.LET(
       _xlpm.lookupResult, _xlfn.XLOOKUP(D67, RawDataTable[Account Name and Number], RawDataTable[Investment Amount], "MISSING VALUE"),
       IF(ISNUMBER(_xlpm.lookupResult), _xlpm.lookupResult, "INVALID VALUE")
   )
)</f>
        <v>Empty Row</v>
      </c>
      <c r="G67" s="28" t="str">
        <f t="shared" ref="G67:G130" ca="1" si="1">IF(D67="Empty Row", "Empty Row",
   IF(ISNUMBER(TODAY()), TODAY(), "INVALID VALUE")
)</f>
        <v>Empty Row</v>
      </c>
      <c r="H67" s="29" t="str">
        <f>IF(D67="Empty Row", "Empty Row",
   _xlfn.LET(
       _xlpm.lookupResult, _xlfn.XLOOKUP(D67, RawDataTable[Account Name and Number], RawDataTable[Valuation Amount], "MISSING VALUE"),
       IF(ISNUMBER(_xlpm.lookupResult), _xlpm.lookupResult, "INVALID VALUE")
   )
)</f>
        <v>Empty Row</v>
      </c>
      <c r="I67" s="2" t="str">
        <f>IF(D67="Empty Row", "Empty Row", IF(_xlfn.XLOOKUP(B67, MasterTable[IRA Custodian], MasterTable[Address], "")="", "NO STREET NAME FOUND", _xlfn.XLOOKUP(B67, MasterTable[IRA Custodian], MasterTable[Address], "")))</f>
        <v>Empty Row</v>
      </c>
      <c r="J67" s="2" t="str">
        <f>IF(D67="Empty Row", "Empty Row",
   IF(OR(
       _xlfn.XLOOKUP(B67, MasterTable[IRA Custodian], MasterTable[City], "")="",
       _xlfn.XLOOKUP(B67, MasterTable[IRA Custodian], MasterTable[State], "")="",
       _xlfn.XLOOKUP(B67, MasterTable[IRA Custodian], MasterTable[Zip], "")=""),
       "INCOMPLETE ADDRESS",
       _xlfn.CONCAT(
           _xlfn.XLOOKUP(B67, MasterTable[IRA Custodian], MasterTable[City], ""), ", ",
           _xlfn.XLOOKUP(B67, MasterTable[IRA Custodian], MasterTable[State], ""), " ",
           _xlfn.XLOOKUP(B67, MasterTable[IRA Custodian], MasterTable[Zip], "")
       )
   )
)</f>
        <v>Empty Row</v>
      </c>
    </row>
    <row r="68" spans="1:10" x14ac:dyDescent="0.25">
      <c r="A68" t="str">
        <f>IF(D68="Empty Row", "Empty Row",
   _xlfn.LET(
       _xlpm.lookupResult, _xlfn.XLOOKUP(D68, RawDataTable[Account Name and Number], RawDataTable[Entity], "RAW DATA MISSING"),
       IF(ISBLANK(_xlpm.lookupResult), "RAW DATA MISSING", _xlpm.lookupResult)
   )
)</f>
        <v>Empty Row</v>
      </c>
      <c r="B68" t="str">
        <f>IF(D68="Empty Row", "Empty Row",
   _xlfn.LET(
       _xlpm.rawDataLookup, _xlfn.XLOOKUP(D68,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68" s="56" t="str" cm="1">
        <f t="array" ref="C68">IF(D68="Empty Row", "Empty Row",
   IF(COUNTIF('Name Mapping'!H:AD, D68) &gt; 0,
      INDEX('Name Mapping'!F:F, MATCH(TRUE, MMULT(--('Name Mapping'!H:AD=D68), TRANSPOSE(COLUMN('Name Mapping'!H:AD)^0)) &gt; 0, 0)),
      "")
)</f>
        <v>Empty Row</v>
      </c>
      <c r="D68" t="str">
        <f>IF(RawDataTable[[#This Row],[Account Name and Number]]&lt;&gt;"", RawDataTable[[#This Row],[Account Name and Number]], "Empty Row")</f>
        <v>Empty Row</v>
      </c>
      <c r="E68" s="28" t="str">
        <f>IF(D68="Empty Row", "Empty Row",
   _xlfn.LET(
       _xlpm.lookupResult, _xlfn.XLOOKUP(D68, RawDataTable[Account Name and Number], RawDataTable[Investment Date], "MISSING VALUE"),
       IF(ISNUMBER(_xlpm.lookupResult), _xlpm.lookupResult, "INVALID VALUE")
   )
)</f>
        <v>Empty Row</v>
      </c>
      <c r="F68" s="29" t="str">
        <f>IF(D68="Empty Row", "Empty Row",
   _xlfn.LET(
       _xlpm.lookupResult, _xlfn.XLOOKUP(D68, RawDataTable[Account Name and Number], RawDataTable[Investment Amount], "MISSING VALUE"),
       IF(ISNUMBER(_xlpm.lookupResult), _xlpm.lookupResult, "INVALID VALUE")
   )
)</f>
        <v>Empty Row</v>
      </c>
      <c r="G68" s="28" t="str">
        <f t="shared" ca="1" si="1"/>
        <v>Empty Row</v>
      </c>
      <c r="H68" s="29" t="str">
        <f>IF(D68="Empty Row", "Empty Row",
   _xlfn.LET(
       _xlpm.lookupResult, _xlfn.XLOOKUP(D68, RawDataTable[Account Name and Number], RawDataTable[Valuation Amount], "MISSING VALUE"),
       IF(ISNUMBER(_xlpm.lookupResult), _xlpm.lookupResult, "INVALID VALUE")
   )
)</f>
        <v>Empty Row</v>
      </c>
      <c r="I68" s="2" t="str">
        <f>IF(D68="Empty Row", "Empty Row", IF(_xlfn.XLOOKUP(B68, MasterTable[IRA Custodian], MasterTable[Address], "")="", "NO STREET NAME FOUND", _xlfn.XLOOKUP(B68, MasterTable[IRA Custodian], MasterTable[Address], "")))</f>
        <v>Empty Row</v>
      </c>
      <c r="J68" s="2" t="str">
        <f>IF(D68="Empty Row", "Empty Row",
   IF(OR(
       _xlfn.XLOOKUP(B68, MasterTable[IRA Custodian], MasterTable[City], "")="",
       _xlfn.XLOOKUP(B68, MasterTable[IRA Custodian], MasterTable[State], "")="",
       _xlfn.XLOOKUP(B68, MasterTable[IRA Custodian], MasterTable[Zip], "")=""),
       "INCOMPLETE ADDRESS",
       _xlfn.CONCAT(
           _xlfn.XLOOKUP(B68, MasterTable[IRA Custodian], MasterTable[City], ""), ", ",
           _xlfn.XLOOKUP(B68, MasterTable[IRA Custodian], MasterTable[State], ""), " ",
           _xlfn.XLOOKUP(B68, MasterTable[IRA Custodian], MasterTable[Zip], "")
       )
   )
)</f>
        <v>Empty Row</v>
      </c>
    </row>
    <row r="69" spans="1:10" x14ac:dyDescent="0.25">
      <c r="A69" t="str">
        <f>IF(D69="Empty Row", "Empty Row",
   _xlfn.LET(
       _xlpm.lookupResult, _xlfn.XLOOKUP(D69, RawDataTable[Account Name and Number], RawDataTable[Entity], "RAW DATA MISSING"),
       IF(ISBLANK(_xlpm.lookupResult), "RAW DATA MISSING", _xlpm.lookupResult)
   )
)</f>
        <v>Empty Row</v>
      </c>
      <c r="B69" t="str">
        <f>IF(D69="Empty Row", "Empty Row",
   _xlfn.LET(
       _xlpm.rawDataLookup, _xlfn.XLOOKUP(D69,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69" s="56" t="str" cm="1">
        <f t="array" ref="C69">IF(D69="Empty Row", "Empty Row",
   IF(COUNTIF('Name Mapping'!H:AD, D69) &gt; 0,
      INDEX('Name Mapping'!F:F, MATCH(TRUE, MMULT(--('Name Mapping'!H:AD=D69), TRANSPOSE(COLUMN('Name Mapping'!H:AD)^0)) &gt; 0, 0)),
      "")
)</f>
        <v>Empty Row</v>
      </c>
      <c r="D69" t="str">
        <f>IF(RawDataTable[[#This Row],[Account Name and Number]]&lt;&gt;"", RawDataTable[[#This Row],[Account Name and Number]], "Empty Row")</f>
        <v>Empty Row</v>
      </c>
      <c r="E69" s="28" t="str">
        <f>IF(D69="Empty Row", "Empty Row",
   _xlfn.LET(
       _xlpm.lookupResult, _xlfn.XLOOKUP(D69, RawDataTable[Account Name and Number], RawDataTable[Investment Date], "MISSING VALUE"),
       IF(ISNUMBER(_xlpm.lookupResult), _xlpm.lookupResult, "INVALID VALUE")
   )
)</f>
        <v>Empty Row</v>
      </c>
      <c r="F69" s="29" t="str">
        <f>IF(D69="Empty Row", "Empty Row",
   _xlfn.LET(
       _xlpm.lookupResult, _xlfn.XLOOKUP(D69, RawDataTable[Account Name and Number], RawDataTable[Investment Amount], "MISSING VALUE"),
       IF(ISNUMBER(_xlpm.lookupResult), _xlpm.lookupResult, "INVALID VALUE")
   )
)</f>
        <v>Empty Row</v>
      </c>
      <c r="G69" s="28" t="str">
        <f t="shared" ca="1" si="1"/>
        <v>Empty Row</v>
      </c>
      <c r="H69" s="29" t="str">
        <f>IF(D69="Empty Row", "Empty Row",
   _xlfn.LET(
       _xlpm.lookupResult, _xlfn.XLOOKUP(D69, RawDataTable[Account Name and Number], RawDataTable[Valuation Amount], "MISSING VALUE"),
       IF(ISNUMBER(_xlpm.lookupResult), _xlpm.lookupResult, "INVALID VALUE")
   )
)</f>
        <v>Empty Row</v>
      </c>
      <c r="I69" s="2" t="str">
        <f>IF(D69="Empty Row", "Empty Row", IF(_xlfn.XLOOKUP(B69, MasterTable[IRA Custodian], MasterTable[Address], "")="", "NO STREET NAME FOUND", _xlfn.XLOOKUP(B69, MasterTable[IRA Custodian], MasterTable[Address], "")))</f>
        <v>Empty Row</v>
      </c>
      <c r="J69" s="2" t="str">
        <f>IF(D69="Empty Row", "Empty Row",
   IF(OR(
       _xlfn.XLOOKUP(B69, MasterTable[IRA Custodian], MasterTable[City], "")="",
       _xlfn.XLOOKUP(B69, MasterTable[IRA Custodian], MasterTable[State], "")="",
       _xlfn.XLOOKUP(B69, MasterTable[IRA Custodian], MasterTable[Zip], "")=""),
       "INCOMPLETE ADDRESS",
       _xlfn.CONCAT(
           _xlfn.XLOOKUP(B69, MasterTable[IRA Custodian], MasterTable[City], ""), ", ",
           _xlfn.XLOOKUP(B69, MasterTable[IRA Custodian], MasterTable[State], ""), " ",
           _xlfn.XLOOKUP(B69, MasterTable[IRA Custodian], MasterTable[Zip], "")
       )
   )
)</f>
        <v>Empty Row</v>
      </c>
    </row>
    <row r="70" spans="1:10" x14ac:dyDescent="0.25">
      <c r="A70" t="str">
        <f>IF(D70="Empty Row", "Empty Row",
   _xlfn.LET(
       _xlpm.lookupResult, _xlfn.XLOOKUP(D70, RawDataTable[Account Name and Number], RawDataTable[Entity], "RAW DATA MISSING"),
       IF(ISBLANK(_xlpm.lookupResult), "RAW DATA MISSING", _xlpm.lookupResult)
   )
)</f>
        <v>Empty Row</v>
      </c>
      <c r="B70" t="str">
        <f>IF(D70="Empty Row", "Empty Row",
   _xlfn.LET(
       _xlpm.rawDataLookup, _xlfn.XLOOKUP(D70,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70" s="56" t="str" cm="1">
        <f t="array" ref="C70">IF(D70="Empty Row", "Empty Row",
   IF(COUNTIF('Name Mapping'!H:AD, D70) &gt; 0,
      INDEX('Name Mapping'!F:F, MATCH(TRUE, MMULT(--('Name Mapping'!H:AD=D70), TRANSPOSE(COLUMN('Name Mapping'!H:AD)^0)) &gt; 0, 0)),
      "")
)</f>
        <v>Empty Row</v>
      </c>
      <c r="D70" t="str">
        <f>IF(RawDataTable[[#This Row],[Account Name and Number]]&lt;&gt;"", RawDataTable[[#This Row],[Account Name and Number]], "Empty Row")</f>
        <v>Empty Row</v>
      </c>
      <c r="E70" s="28" t="str">
        <f>IF(D70="Empty Row", "Empty Row",
   _xlfn.LET(
       _xlpm.lookupResult, _xlfn.XLOOKUP(D70, RawDataTable[Account Name and Number], RawDataTable[Investment Date], "MISSING VALUE"),
       IF(ISNUMBER(_xlpm.lookupResult), _xlpm.lookupResult, "INVALID VALUE")
   )
)</f>
        <v>Empty Row</v>
      </c>
      <c r="F70" s="29" t="str">
        <f>IF(D70="Empty Row", "Empty Row",
   _xlfn.LET(
       _xlpm.lookupResult, _xlfn.XLOOKUP(D70, RawDataTable[Account Name and Number], RawDataTable[Investment Amount], "MISSING VALUE"),
       IF(ISNUMBER(_xlpm.lookupResult), _xlpm.lookupResult, "INVALID VALUE")
   )
)</f>
        <v>Empty Row</v>
      </c>
      <c r="G70" s="28" t="str">
        <f t="shared" ca="1" si="1"/>
        <v>Empty Row</v>
      </c>
      <c r="H70" s="29" t="str">
        <f>IF(D70="Empty Row", "Empty Row",
   _xlfn.LET(
       _xlpm.lookupResult, _xlfn.XLOOKUP(D70, RawDataTable[Account Name and Number], RawDataTable[Valuation Amount], "MISSING VALUE"),
       IF(ISNUMBER(_xlpm.lookupResult), _xlpm.lookupResult, "INVALID VALUE")
   )
)</f>
        <v>Empty Row</v>
      </c>
      <c r="I70" s="2" t="str">
        <f>IF(D70="Empty Row", "Empty Row", IF(_xlfn.XLOOKUP(B70, MasterTable[IRA Custodian], MasterTable[Address], "")="", "NO STREET NAME FOUND", _xlfn.XLOOKUP(B70, MasterTable[IRA Custodian], MasterTable[Address], "")))</f>
        <v>Empty Row</v>
      </c>
      <c r="J70" s="2" t="str">
        <f>IF(D70="Empty Row", "Empty Row",
   IF(OR(
       _xlfn.XLOOKUP(B70, MasterTable[IRA Custodian], MasterTable[City], "")="",
       _xlfn.XLOOKUP(B70, MasterTable[IRA Custodian], MasterTable[State], "")="",
       _xlfn.XLOOKUP(B70, MasterTable[IRA Custodian], MasterTable[Zip], "")=""),
       "INCOMPLETE ADDRESS",
       _xlfn.CONCAT(
           _xlfn.XLOOKUP(B70, MasterTable[IRA Custodian], MasterTable[City], ""), ", ",
           _xlfn.XLOOKUP(B70, MasterTable[IRA Custodian], MasterTable[State], ""), " ",
           _xlfn.XLOOKUP(B70, MasterTable[IRA Custodian], MasterTable[Zip], "")
       )
   )
)</f>
        <v>Empty Row</v>
      </c>
    </row>
    <row r="71" spans="1:10" x14ac:dyDescent="0.25">
      <c r="A71" t="str">
        <f>IF(D71="Empty Row", "Empty Row",
   _xlfn.LET(
       _xlpm.lookupResult, _xlfn.XLOOKUP(D71, RawDataTable[Account Name and Number], RawDataTable[Entity], "RAW DATA MISSING"),
       IF(ISBLANK(_xlpm.lookupResult), "RAW DATA MISSING", _xlpm.lookupResult)
   )
)</f>
        <v>Empty Row</v>
      </c>
      <c r="B71" t="str">
        <f>IF(D71="Empty Row", "Empty Row",
   _xlfn.LET(
       _xlpm.rawDataLookup, _xlfn.XLOOKUP(D71,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71" s="56" t="str" cm="1">
        <f t="array" ref="C71">IF(D71="Empty Row", "Empty Row",
   IF(COUNTIF('Name Mapping'!H:AD, D71) &gt; 0,
      INDEX('Name Mapping'!F:F, MATCH(TRUE, MMULT(--('Name Mapping'!H:AD=D71), TRANSPOSE(COLUMN('Name Mapping'!H:AD)^0)) &gt; 0, 0)),
      "")
)</f>
        <v>Empty Row</v>
      </c>
      <c r="D71" t="str">
        <f>IF(RawDataTable[[#This Row],[Account Name and Number]]&lt;&gt;"", RawDataTable[[#This Row],[Account Name and Number]], "Empty Row")</f>
        <v>Empty Row</v>
      </c>
      <c r="E71" s="28" t="str">
        <f>IF(D71="Empty Row", "Empty Row",
   _xlfn.LET(
       _xlpm.lookupResult, _xlfn.XLOOKUP(D71, RawDataTable[Account Name and Number], RawDataTable[Investment Date], "MISSING VALUE"),
       IF(ISNUMBER(_xlpm.lookupResult), _xlpm.lookupResult, "INVALID VALUE")
   )
)</f>
        <v>Empty Row</v>
      </c>
      <c r="F71" s="29" t="str">
        <f>IF(D71="Empty Row", "Empty Row",
   _xlfn.LET(
       _xlpm.lookupResult, _xlfn.XLOOKUP(D71, RawDataTable[Account Name and Number], RawDataTable[Investment Amount], "MISSING VALUE"),
       IF(ISNUMBER(_xlpm.lookupResult), _xlpm.lookupResult, "INVALID VALUE")
   )
)</f>
        <v>Empty Row</v>
      </c>
      <c r="G71" s="28" t="str">
        <f t="shared" ca="1" si="1"/>
        <v>Empty Row</v>
      </c>
      <c r="H71" s="29" t="str">
        <f>IF(D71="Empty Row", "Empty Row",
   _xlfn.LET(
       _xlpm.lookupResult, _xlfn.XLOOKUP(D71, RawDataTable[Account Name and Number], RawDataTable[Valuation Amount], "MISSING VALUE"),
       IF(ISNUMBER(_xlpm.lookupResult), _xlpm.lookupResult, "INVALID VALUE")
   )
)</f>
        <v>Empty Row</v>
      </c>
      <c r="I71" s="2" t="str">
        <f>IF(D71="Empty Row", "Empty Row", IF(_xlfn.XLOOKUP(B71, MasterTable[IRA Custodian], MasterTable[Address], "")="", "NO STREET NAME FOUND", _xlfn.XLOOKUP(B71, MasterTable[IRA Custodian], MasterTable[Address], "")))</f>
        <v>Empty Row</v>
      </c>
      <c r="J71" s="2" t="str">
        <f>IF(D71="Empty Row", "Empty Row",
   IF(OR(
       _xlfn.XLOOKUP(B71, MasterTable[IRA Custodian], MasterTable[City], "")="",
       _xlfn.XLOOKUP(B71, MasterTable[IRA Custodian], MasterTable[State], "")="",
       _xlfn.XLOOKUP(B71, MasterTable[IRA Custodian], MasterTable[Zip], "")=""),
       "INCOMPLETE ADDRESS",
       _xlfn.CONCAT(
           _xlfn.XLOOKUP(B71, MasterTable[IRA Custodian], MasterTable[City], ""), ", ",
           _xlfn.XLOOKUP(B71, MasterTable[IRA Custodian], MasterTable[State], ""), " ",
           _xlfn.XLOOKUP(B71, MasterTable[IRA Custodian], MasterTable[Zip], "")
       )
   )
)</f>
        <v>Empty Row</v>
      </c>
    </row>
    <row r="72" spans="1:10" x14ac:dyDescent="0.25">
      <c r="A72" t="str">
        <f>IF(D72="Empty Row", "Empty Row",
   _xlfn.LET(
       _xlpm.lookupResult, _xlfn.XLOOKUP(D72, RawDataTable[Account Name and Number], RawDataTable[Entity], "RAW DATA MISSING"),
       IF(ISBLANK(_xlpm.lookupResult), "RAW DATA MISSING", _xlpm.lookupResult)
   )
)</f>
        <v>Empty Row</v>
      </c>
      <c r="B72" t="str">
        <f>IF(D72="Empty Row", "Empty Row",
   _xlfn.LET(
       _xlpm.rawDataLookup, _xlfn.XLOOKUP(D72,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72" s="56" t="str" cm="1">
        <f t="array" ref="C72">IF(D72="Empty Row", "Empty Row",
   IF(COUNTIF('Name Mapping'!H:AD, D72) &gt; 0,
      INDEX('Name Mapping'!F:F, MATCH(TRUE, MMULT(--('Name Mapping'!H:AD=D72), TRANSPOSE(COLUMN('Name Mapping'!H:AD)^0)) &gt; 0, 0)),
      "")
)</f>
        <v>Empty Row</v>
      </c>
      <c r="D72" t="str">
        <f>IF(RawDataTable[[#This Row],[Account Name and Number]]&lt;&gt;"", RawDataTable[[#This Row],[Account Name and Number]], "Empty Row")</f>
        <v>Empty Row</v>
      </c>
      <c r="E72" s="28" t="str">
        <f>IF(D72="Empty Row", "Empty Row",
   _xlfn.LET(
       _xlpm.lookupResult, _xlfn.XLOOKUP(D72, RawDataTable[Account Name and Number], RawDataTable[Investment Date], "MISSING VALUE"),
       IF(ISNUMBER(_xlpm.lookupResult), _xlpm.lookupResult, "INVALID VALUE")
   )
)</f>
        <v>Empty Row</v>
      </c>
      <c r="F72" s="29" t="str">
        <f>IF(D72="Empty Row", "Empty Row",
   _xlfn.LET(
       _xlpm.lookupResult, _xlfn.XLOOKUP(D72, RawDataTable[Account Name and Number], RawDataTable[Investment Amount], "MISSING VALUE"),
       IF(ISNUMBER(_xlpm.lookupResult), _xlpm.lookupResult, "INVALID VALUE")
   )
)</f>
        <v>Empty Row</v>
      </c>
      <c r="G72" s="28" t="str">
        <f t="shared" ca="1" si="1"/>
        <v>Empty Row</v>
      </c>
      <c r="H72" s="29" t="str">
        <f>IF(D72="Empty Row", "Empty Row",
   _xlfn.LET(
       _xlpm.lookupResult, _xlfn.XLOOKUP(D72, RawDataTable[Account Name and Number], RawDataTable[Valuation Amount], "MISSING VALUE"),
       IF(ISNUMBER(_xlpm.lookupResult), _xlpm.lookupResult, "INVALID VALUE")
   )
)</f>
        <v>Empty Row</v>
      </c>
      <c r="I72" s="2" t="str">
        <f>IF(D72="Empty Row", "Empty Row", IF(_xlfn.XLOOKUP(B72, MasterTable[IRA Custodian], MasterTable[Address], "")="", "NO STREET NAME FOUND", _xlfn.XLOOKUP(B72, MasterTable[IRA Custodian], MasterTable[Address], "")))</f>
        <v>Empty Row</v>
      </c>
      <c r="J72" s="2" t="str">
        <f>IF(D72="Empty Row", "Empty Row",
   IF(OR(
       _xlfn.XLOOKUP(B72, MasterTable[IRA Custodian], MasterTable[City], "")="",
       _xlfn.XLOOKUP(B72, MasterTable[IRA Custodian], MasterTable[State], "")="",
       _xlfn.XLOOKUP(B72, MasterTable[IRA Custodian], MasterTable[Zip], "")=""),
       "INCOMPLETE ADDRESS",
       _xlfn.CONCAT(
           _xlfn.XLOOKUP(B72, MasterTable[IRA Custodian], MasterTable[City], ""), ", ",
           _xlfn.XLOOKUP(B72, MasterTable[IRA Custodian], MasterTable[State], ""), " ",
           _xlfn.XLOOKUP(B72, MasterTable[IRA Custodian], MasterTable[Zip], "")
       )
   )
)</f>
        <v>Empty Row</v>
      </c>
    </row>
    <row r="73" spans="1:10" x14ac:dyDescent="0.25">
      <c r="A73" t="str">
        <f>IF(D73="Empty Row", "Empty Row",
   _xlfn.LET(
       _xlpm.lookupResult, _xlfn.XLOOKUP(D73, RawDataTable[Account Name and Number], RawDataTable[Entity], "RAW DATA MISSING"),
       IF(ISBLANK(_xlpm.lookupResult), "RAW DATA MISSING", _xlpm.lookupResult)
   )
)</f>
        <v>Empty Row</v>
      </c>
      <c r="B73" t="str">
        <f>IF(D73="Empty Row", "Empty Row",
   _xlfn.LET(
       _xlpm.rawDataLookup, _xlfn.XLOOKUP(D73,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73" s="56" t="str" cm="1">
        <f t="array" ref="C73">IF(D73="Empty Row", "Empty Row",
   IF(COUNTIF('Name Mapping'!H:AD, D73) &gt; 0,
      INDEX('Name Mapping'!F:F, MATCH(TRUE, MMULT(--('Name Mapping'!H:AD=D73), TRANSPOSE(COLUMN('Name Mapping'!H:AD)^0)) &gt; 0, 0)),
      "")
)</f>
        <v>Empty Row</v>
      </c>
      <c r="D73" t="str">
        <f>IF(RawDataTable[[#This Row],[Account Name and Number]]&lt;&gt;"", RawDataTable[[#This Row],[Account Name and Number]], "Empty Row")</f>
        <v>Empty Row</v>
      </c>
      <c r="E73" s="28" t="str">
        <f>IF(D73="Empty Row", "Empty Row",
   _xlfn.LET(
       _xlpm.lookupResult, _xlfn.XLOOKUP(D73, RawDataTable[Account Name and Number], RawDataTable[Investment Date], "MISSING VALUE"),
       IF(ISNUMBER(_xlpm.lookupResult), _xlpm.lookupResult, "INVALID VALUE")
   )
)</f>
        <v>Empty Row</v>
      </c>
      <c r="F73" s="29" t="str">
        <f>IF(D73="Empty Row", "Empty Row",
   _xlfn.LET(
       _xlpm.lookupResult, _xlfn.XLOOKUP(D73, RawDataTable[Account Name and Number], RawDataTable[Investment Amount], "MISSING VALUE"),
       IF(ISNUMBER(_xlpm.lookupResult), _xlpm.lookupResult, "INVALID VALUE")
   )
)</f>
        <v>Empty Row</v>
      </c>
      <c r="G73" s="28" t="str">
        <f t="shared" ca="1" si="1"/>
        <v>Empty Row</v>
      </c>
      <c r="H73" s="29" t="str">
        <f>IF(D73="Empty Row", "Empty Row",
   _xlfn.LET(
       _xlpm.lookupResult, _xlfn.XLOOKUP(D73, RawDataTable[Account Name and Number], RawDataTable[Valuation Amount], "MISSING VALUE"),
       IF(ISNUMBER(_xlpm.lookupResult), _xlpm.lookupResult, "INVALID VALUE")
   )
)</f>
        <v>Empty Row</v>
      </c>
      <c r="I73" s="2" t="str">
        <f>IF(D73="Empty Row", "Empty Row", IF(_xlfn.XLOOKUP(B73, MasterTable[IRA Custodian], MasterTable[Address], "")="", "NO STREET NAME FOUND", _xlfn.XLOOKUP(B73, MasterTable[IRA Custodian], MasterTable[Address], "")))</f>
        <v>Empty Row</v>
      </c>
      <c r="J73" s="2" t="str">
        <f>IF(D73="Empty Row", "Empty Row",
   IF(OR(
       _xlfn.XLOOKUP(B73, MasterTable[IRA Custodian], MasterTable[City], "")="",
       _xlfn.XLOOKUP(B73, MasterTable[IRA Custodian], MasterTable[State], "")="",
       _xlfn.XLOOKUP(B73, MasterTable[IRA Custodian], MasterTable[Zip], "")=""),
       "INCOMPLETE ADDRESS",
       _xlfn.CONCAT(
           _xlfn.XLOOKUP(B73, MasterTable[IRA Custodian], MasterTable[City], ""), ", ",
           _xlfn.XLOOKUP(B73, MasterTable[IRA Custodian], MasterTable[State], ""), " ",
           _xlfn.XLOOKUP(B73, MasterTable[IRA Custodian], MasterTable[Zip], "")
       )
   )
)</f>
        <v>Empty Row</v>
      </c>
    </row>
    <row r="74" spans="1:10" x14ac:dyDescent="0.25">
      <c r="A74" t="str">
        <f>IF(D74="Empty Row", "Empty Row",
   _xlfn.LET(
       _xlpm.lookupResult, _xlfn.XLOOKUP(D74, RawDataTable[Account Name and Number], RawDataTable[Entity], "RAW DATA MISSING"),
       IF(ISBLANK(_xlpm.lookupResult), "RAW DATA MISSING", _xlpm.lookupResult)
   )
)</f>
        <v>Empty Row</v>
      </c>
      <c r="B74" t="str">
        <f>IF(D74="Empty Row", "Empty Row",
   _xlfn.LET(
       _xlpm.rawDataLookup, _xlfn.XLOOKUP(D74,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74" s="56" t="str" cm="1">
        <f t="array" ref="C74">IF(D74="Empty Row", "Empty Row",
   IF(COUNTIF('Name Mapping'!H:AD, D74) &gt; 0,
      INDEX('Name Mapping'!F:F, MATCH(TRUE, MMULT(--('Name Mapping'!H:AD=D74), TRANSPOSE(COLUMN('Name Mapping'!H:AD)^0)) &gt; 0, 0)),
      "")
)</f>
        <v>Empty Row</v>
      </c>
      <c r="D74" t="str">
        <f>IF(RawDataTable[[#This Row],[Account Name and Number]]&lt;&gt;"", RawDataTable[[#This Row],[Account Name and Number]], "Empty Row")</f>
        <v>Empty Row</v>
      </c>
      <c r="E74" s="28" t="str">
        <f>IF(D74="Empty Row", "Empty Row",
   _xlfn.LET(
       _xlpm.lookupResult, _xlfn.XLOOKUP(D74, RawDataTable[Account Name and Number], RawDataTable[Investment Date], "MISSING VALUE"),
       IF(ISNUMBER(_xlpm.lookupResult), _xlpm.lookupResult, "INVALID VALUE")
   )
)</f>
        <v>Empty Row</v>
      </c>
      <c r="F74" s="29" t="str">
        <f>IF(D74="Empty Row", "Empty Row",
   _xlfn.LET(
       _xlpm.lookupResult, _xlfn.XLOOKUP(D74, RawDataTable[Account Name and Number], RawDataTable[Investment Amount], "MISSING VALUE"),
       IF(ISNUMBER(_xlpm.lookupResult), _xlpm.lookupResult, "INVALID VALUE")
   )
)</f>
        <v>Empty Row</v>
      </c>
      <c r="G74" s="28" t="str">
        <f t="shared" ca="1" si="1"/>
        <v>Empty Row</v>
      </c>
      <c r="H74" s="29" t="str">
        <f>IF(D74="Empty Row", "Empty Row",
   _xlfn.LET(
       _xlpm.lookupResult, _xlfn.XLOOKUP(D74, RawDataTable[Account Name and Number], RawDataTable[Valuation Amount], "MISSING VALUE"),
       IF(ISNUMBER(_xlpm.lookupResult), _xlpm.lookupResult, "INVALID VALUE")
   )
)</f>
        <v>Empty Row</v>
      </c>
      <c r="I74" s="2" t="str">
        <f>IF(D74="Empty Row", "Empty Row", IF(_xlfn.XLOOKUP(B74, MasterTable[IRA Custodian], MasterTable[Address], "")="", "NO STREET NAME FOUND", _xlfn.XLOOKUP(B74, MasterTable[IRA Custodian], MasterTable[Address], "")))</f>
        <v>Empty Row</v>
      </c>
      <c r="J74" s="2" t="str">
        <f>IF(D74="Empty Row", "Empty Row",
   IF(OR(
       _xlfn.XLOOKUP(B74, MasterTable[IRA Custodian], MasterTable[City], "")="",
       _xlfn.XLOOKUP(B74, MasterTable[IRA Custodian], MasterTable[State], "")="",
       _xlfn.XLOOKUP(B74, MasterTable[IRA Custodian], MasterTable[Zip], "")=""),
       "INCOMPLETE ADDRESS",
       _xlfn.CONCAT(
           _xlfn.XLOOKUP(B74, MasterTable[IRA Custodian], MasterTable[City], ""), ", ",
           _xlfn.XLOOKUP(B74, MasterTable[IRA Custodian], MasterTable[State], ""), " ",
           _xlfn.XLOOKUP(B74, MasterTable[IRA Custodian], MasterTable[Zip], "")
       )
   )
)</f>
        <v>Empty Row</v>
      </c>
    </row>
    <row r="75" spans="1:10" x14ac:dyDescent="0.25">
      <c r="A75" t="str">
        <f>IF(D75="Empty Row", "Empty Row",
   _xlfn.LET(
       _xlpm.lookupResult, _xlfn.XLOOKUP(D75, RawDataTable[Account Name and Number], RawDataTable[Entity], "RAW DATA MISSING"),
       IF(ISBLANK(_xlpm.lookupResult), "RAW DATA MISSING", _xlpm.lookupResult)
   )
)</f>
        <v>Empty Row</v>
      </c>
      <c r="B75" t="str">
        <f>IF(D75="Empty Row", "Empty Row",
   _xlfn.LET(
       _xlpm.rawDataLookup, _xlfn.XLOOKUP(D75,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75" s="56" t="str" cm="1">
        <f t="array" ref="C75">IF(D75="Empty Row", "Empty Row",
   IF(COUNTIF('Name Mapping'!H:AD, D75) &gt; 0,
      INDEX('Name Mapping'!F:F, MATCH(TRUE, MMULT(--('Name Mapping'!H:AD=D75), TRANSPOSE(COLUMN('Name Mapping'!H:AD)^0)) &gt; 0, 0)),
      "")
)</f>
        <v>Empty Row</v>
      </c>
      <c r="D75" t="str">
        <f>IF(RawDataTable[[#This Row],[Account Name and Number]]&lt;&gt;"", RawDataTable[[#This Row],[Account Name and Number]], "Empty Row")</f>
        <v>Empty Row</v>
      </c>
      <c r="E75" s="28" t="str">
        <f>IF(D75="Empty Row", "Empty Row",
   _xlfn.LET(
       _xlpm.lookupResult, _xlfn.XLOOKUP(D75, RawDataTable[Account Name and Number], RawDataTable[Investment Date], "MISSING VALUE"),
       IF(ISNUMBER(_xlpm.lookupResult), _xlpm.lookupResult, "INVALID VALUE")
   )
)</f>
        <v>Empty Row</v>
      </c>
      <c r="F75" s="29" t="str">
        <f>IF(D75="Empty Row", "Empty Row",
   _xlfn.LET(
       _xlpm.lookupResult, _xlfn.XLOOKUP(D75, RawDataTable[Account Name and Number], RawDataTable[Investment Amount], "MISSING VALUE"),
       IF(ISNUMBER(_xlpm.lookupResult), _xlpm.lookupResult, "INVALID VALUE")
   )
)</f>
        <v>Empty Row</v>
      </c>
      <c r="G75" s="28" t="str">
        <f t="shared" ca="1" si="1"/>
        <v>Empty Row</v>
      </c>
      <c r="H75" s="29" t="str">
        <f>IF(D75="Empty Row", "Empty Row",
   _xlfn.LET(
       _xlpm.lookupResult, _xlfn.XLOOKUP(D75, RawDataTable[Account Name and Number], RawDataTable[Valuation Amount], "MISSING VALUE"),
       IF(ISNUMBER(_xlpm.lookupResult), _xlpm.lookupResult, "INVALID VALUE")
   )
)</f>
        <v>Empty Row</v>
      </c>
      <c r="I75" s="2" t="str">
        <f>IF(D75="Empty Row", "Empty Row", IF(_xlfn.XLOOKUP(B75, MasterTable[IRA Custodian], MasterTable[Address], "")="", "NO STREET NAME FOUND", _xlfn.XLOOKUP(B75, MasterTable[IRA Custodian], MasterTable[Address], "")))</f>
        <v>Empty Row</v>
      </c>
      <c r="J75" s="2" t="str">
        <f>IF(D75="Empty Row", "Empty Row",
   IF(OR(
       _xlfn.XLOOKUP(B75, MasterTable[IRA Custodian], MasterTable[City], "")="",
       _xlfn.XLOOKUP(B75, MasterTable[IRA Custodian], MasterTable[State], "")="",
       _xlfn.XLOOKUP(B75, MasterTable[IRA Custodian], MasterTable[Zip], "")=""),
       "INCOMPLETE ADDRESS",
       _xlfn.CONCAT(
           _xlfn.XLOOKUP(B75, MasterTable[IRA Custodian], MasterTable[City], ""), ", ",
           _xlfn.XLOOKUP(B75, MasterTable[IRA Custodian], MasterTable[State], ""), " ",
           _xlfn.XLOOKUP(B75, MasterTable[IRA Custodian], MasterTable[Zip], "")
       )
   )
)</f>
        <v>Empty Row</v>
      </c>
    </row>
    <row r="76" spans="1:10" x14ac:dyDescent="0.25">
      <c r="A76" t="str">
        <f>IF(D76="Empty Row", "Empty Row",
   _xlfn.LET(
       _xlpm.lookupResult, _xlfn.XLOOKUP(D76, RawDataTable[Account Name and Number], RawDataTable[Entity], "RAW DATA MISSING"),
       IF(ISBLANK(_xlpm.lookupResult), "RAW DATA MISSING", _xlpm.lookupResult)
   )
)</f>
        <v>Empty Row</v>
      </c>
      <c r="B76" t="str">
        <f>IF(D76="Empty Row", "Empty Row",
   _xlfn.LET(
       _xlpm.rawDataLookup, _xlfn.XLOOKUP(D76,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76" s="56" t="str" cm="1">
        <f t="array" ref="C76">IF(D76="Empty Row", "Empty Row",
   IF(COUNTIF('Name Mapping'!H:AD, D76) &gt; 0,
      INDEX('Name Mapping'!F:F, MATCH(TRUE, MMULT(--('Name Mapping'!H:AD=D76), TRANSPOSE(COLUMN('Name Mapping'!H:AD)^0)) &gt; 0, 0)),
      "")
)</f>
        <v>Empty Row</v>
      </c>
      <c r="D76" t="str">
        <f>IF(RawDataTable[[#This Row],[Account Name and Number]]&lt;&gt;"", RawDataTable[[#This Row],[Account Name and Number]], "Empty Row")</f>
        <v>Empty Row</v>
      </c>
      <c r="E76" s="28" t="str">
        <f>IF(D76="Empty Row", "Empty Row",
   _xlfn.LET(
       _xlpm.lookupResult, _xlfn.XLOOKUP(D76, RawDataTable[Account Name and Number], RawDataTable[Investment Date], "MISSING VALUE"),
       IF(ISNUMBER(_xlpm.lookupResult), _xlpm.lookupResult, "INVALID VALUE")
   )
)</f>
        <v>Empty Row</v>
      </c>
      <c r="F76" s="29" t="str">
        <f>IF(D76="Empty Row", "Empty Row",
   _xlfn.LET(
       _xlpm.lookupResult, _xlfn.XLOOKUP(D76, RawDataTable[Account Name and Number], RawDataTable[Investment Amount], "MISSING VALUE"),
       IF(ISNUMBER(_xlpm.lookupResult), _xlpm.lookupResult, "INVALID VALUE")
   )
)</f>
        <v>Empty Row</v>
      </c>
      <c r="G76" s="28" t="str">
        <f t="shared" ca="1" si="1"/>
        <v>Empty Row</v>
      </c>
      <c r="H76" s="29" t="str">
        <f>IF(D76="Empty Row", "Empty Row",
   _xlfn.LET(
       _xlpm.lookupResult, _xlfn.XLOOKUP(D76, RawDataTable[Account Name and Number], RawDataTable[Valuation Amount], "MISSING VALUE"),
       IF(ISNUMBER(_xlpm.lookupResult), _xlpm.lookupResult, "INVALID VALUE")
   )
)</f>
        <v>Empty Row</v>
      </c>
      <c r="I76" s="2" t="str">
        <f>IF(D76="Empty Row", "Empty Row", IF(_xlfn.XLOOKUP(B76, MasterTable[IRA Custodian], MasterTable[Address], "")="", "NO STREET NAME FOUND", _xlfn.XLOOKUP(B76, MasterTable[IRA Custodian], MasterTable[Address], "")))</f>
        <v>Empty Row</v>
      </c>
      <c r="J76" s="2" t="str">
        <f>IF(D76="Empty Row", "Empty Row",
   IF(OR(
       _xlfn.XLOOKUP(B76, MasterTable[IRA Custodian], MasterTable[City], "")="",
       _xlfn.XLOOKUP(B76, MasterTable[IRA Custodian], MasterTable[State], "")="",
       _xlfn.XLOOKUP(B76, MasterTable[IRA Custodian], MasterTable[Zip], "")=""),
       "INCOMPLETE ADDRESS",
       _xlfn.CONCAT(
           _xlfn.XLOOKUP(B76, MasterTable[IRA Custodian], MasterTable[City], ""), ", ",
           _xlfn.XLOOKUP(B76, MasterTable[IRA Custodian], MasterTable[State], ""), " ",
           _xlfn.XLOOKUP(B76, MasterTable[IRA Custodian], MasterTable[Zip], "")
       )
   )
)</f>
        <v>Empty Row</v>
      </c>
    </row>
    <row r="77" spans="1:10" x14ac:dyDescent="0.25">
      <c r="A77" t="str">
        <f>IF(D77="Empty Row", "Empty Row",
   _xlfn.LET(
       _xlpm.lookupResult, _xlfn.XLOOKUP(D77, RawDataTable[Account Name and Number], RawDataTable[Entity], "RAW DATA MISSING"),
       IF(ISBLANK(_xlpm.lookupResult), "RAW DATA MISSING", _xlpm.lookupResult)
   )
)</f>
        <v>Empty Row</v>
      </c>
      <c r="B77" t="str">
        <f>IF(D77="Empty Row", "Empty Row",
   _xlfn.LET(
       _xlpm.rawDataLookup, _xlfn.XLOOKUP(D77,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77" s="56" t="str" cm="1">
        <f t="array" ref="C77">IF(D77="Empty Row", "Empty Row",
   IF(COUNTIF('Name Mapping'!H:AD, D77) &gt; 0,
      INDEX('Name Mapping'!F:F, MATCH(TRUE, MMULT(--('Name Mapping'!H:AD=D77), TRANSPOSE(COLUMN('Name Mapping'!H:AD)^0)) &gt; 0, 0)),
      "")
)</f>
        <v>Empty Row</v>
      </c>
      <c r="D77" t="str">
        <f>IF(RawDataTable[[#This Row],[Account Name and Number]]&lt;&gt;"", RawDataTable[[#This Row],[Account Name and Number]], "Empty Row")</f>
        <v>Empty Row</v>
      </c>
      <c r="E77" s="28" t="str">
        <f>IF(D77="Empty Row", "Empty Row",
   _xlfn.LET(
       _xlpm.lookupResult, _xlfn.XLOOKUP(D77, RawDataTable[Account Name and Number], RawDataTable[Investment Date], "MISSING VALUE"),
       IF(ISNUMBER(_xlpm.lookupResult), _xlpm.lookupResult, "INVALID VALUE")
   )
)</f>
        <v>Empty Row</v>
      </c>
      <c r="F77" s="29" t="str">
        <f>IF(D77="Empty Row", "Empty Row",
   _xlfn.LET(
       _xlpm.lookupResult, _xlfn.XLOOKUP(D77, RawDataTable[Account Name and Number], RawDataTable[Investment Amount], "MISSING VALUE"),
       IF(ISNUMBER(_xlpm.lookupResult), _xlpm.lookupResult, "INVALID VALUE")
   )
)</f>
        <v>Empty Row</v>
      </c>
      <c r="G77" s="28" t="str">
        <f t="shared" ca="1" si="1"/>
        <v>Empty Row</v>
      </c>
      <c r="H77" s="29" t="str">
        <f>IF(D77="Empty Row", "Empty Row",
   _xlfn.LET(
       _xlpm.lookupResult, _xlfn.XLOOKUP(D77, RawDataTable[Account Name and Number], RawDataTable[Valuation Amount], "MISSING VALUE"),
       IF(ISNUMBER(_xlpm.lookupResult), _xlpm.lookupResult, "INVALID VALUE")
   )
)</f>
        <v>Empty Row</v>
      </c>
      <c r="I77" s="2" t="str">
        <f>IF(D77="Empty Row", "Empty Row", IF(_xlfn.XLOOKUP(B77, MasterTable[IRA Custodian], MasterTable[Address], "")="", "NO STREET NAME FOUND", _xlfn.XLOOKUP(B77, MasterTable[IRA Custodian], MasterTable[Address], "")))</f>
        <v>Empty Row</v>
      </c>
      <c r="J77" s="2" t="str">
        <f>IF(D77="Empty Row", "Empty Row",
   IF(OR(
       _xlfn.XLOOKUP(B77, MasterTable[IRA Custodian], MasterTable[City], "")="",
       _xlfn.XLOOKUP(B77, MasterTable[IRA Custodian], MasterTable[State], "")="",
       _xlfn.XLOOKUP(B77, MasterTable[IRA Custodian], MasterTable[Zip], "")=""),
       "INCOMPLETE ADDRESS",
       _xlfn.CONCAT(
           _xlfn.XLOOKUP(B77, MasterTable[IRA Custodian], MasterTable[City], ""), ", ",
           _xlfn.XLOOKUP(B77, MasterTable[IRA Custodian], MasterTable[State], ""), " ",
           _xlfn.XLOOKUP(B77, MasterTable[IRA Custodian], MasterTable[Zip], "")
       )
   )
)</f>
        <v>Empty Row</v>
      </c>
    </row>
    <row r="78" spans="1:10" x14ac:dyDescent="0.25">
      <c r="A78" t="str">
        <f>IF(D78="Empty Row", "Empty Row",
   _xlfn.LET(
       _xlpm.lookupResult, _xlfn.XLOOKUP(D78, RawDataTable[Account Name and Number], RawDataTable[Entity], "RAW DATA MISSING"),
       IF(ISBLANK(_xlpm.lookupResult), "RAW DATA MISSING", _xlpm.lookupResult)
   )
)</f>
        <v>Empty Row</v>
      </c>
      <c r="B78" t="str">
        <f>IF(D78="Empty Row", "Empty Row",
   _xlfn.LET(
       _xlpm.rawDataLookup, _xlfn.XLOOKUP(D78,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78" s="56" t="str" cm="1">
        <f t="array" ref="C78">IF(D78="Empty Row", "Empty Row",
   IF(COUNTIF('Name Mapping'!H:AD, D78) &gt; 0,
      INDEX('Name Mapping'!F:F, MATCH(TRUE, MMULT(--('Name Mapping'!H:AD=D78), TRANSPOSE(COLUMN('Name Mapping'!H:AD)^0)) &gt; 0, 0)),
      "")
)</f>
        <v>Empty Row</v>
      </c>
      <c r="D78" t="str">
        <f>IF(RawDataTable[[#This Row],[Account Name and Number]]&lt;&gt;"", RawDataTable[[#This Row],[Account Name and Number]], "Empty Row")</f>
        <v>Empty Row</v>
      </c>
      <c r="E78" s="28" t="str">
        <f>IF(D78="Empty Row", "Empty Row",
   _xlfn.LET(
       _xlpm.lookupResult, _xlfn.XLOOKUP(D78, RawDataTable[Account Name and Number], RawDataTable[Investment Date], "MISSING VALUE"),
       IF(ISNUMBER(_xlpm.lookupResult), _xlpm.lookupResult, "INVALID VALUE")
   )
)</f>
        <v>Empty Row</v>
      </c>
      <c r="F78" s="29" t="str">
        <f>IF(D78="Empty Row", "Empty Row",
   _xlfn.LET(
       _xlpm.lookupResult, _xlfn.XLOOKUP(D78, RawDataTable[Account Name and Number], RawDataTable[Investment Amount], "MISSING VALUE"),
       IF(ISNUMBER(_xlpm.lookupResult), _xlpm.lookupResult, "INVALID VALUE")
   )
)</f>
        <v>Empty Row</v>
      </c>
      <c r="G78" s="28" t="str">
        <f t="shared" ca="1" si="1"/>
        <v>Empty Row</v>
      </c>
      <c r="H78" s="29" t="str">
        <f>IF(D78="Empty Row", "Empty Row",
   _xlfn.LET(
       _xlpm.lookupResult, _xlfn.XLOOKUP(D78, RawDataTable[Account Name and Number], RawDataTable[Valuation Amount], "MISSING VALUE"),
       IF(ISNUMBER(_xlpm.lookupResult), _xlpm.lookupResult, "INVALID VALUE")
   )
)</f>
        <v>Empty Row</v>
      </c>
      <c r="I78" s="2" t="str">
        <f>IF(D78="Empty Row", "Empty Row", IF(_xlfn.XLOOKUP(B78, MasterTable[IRA Custodian], MasterTable[Address], "")="", "NO STREET NAME FOUND", _xlfn.XLOOKUP(B78, MasterTable[IRA Custodian], MasterTable[Address], "")))</f>
        <v>Empty Row</v>
      </c>
      <c r="J78" s="2" t="str">
        <f>IF(D78="Empty Row", "Empty Row",
   IF(OR(
       _xlfn.XLOOKUP(B78, MasterTable[IRA Custodian], MasterTable[City], "")="",
       _xlfn.XLOOKUP(B78, MasterTable[IRA Custodian], MasterTable[State], "")="",
       _xlfn.XLOOKUP(B78, MasterTable[IRA Custodian], MasterTable[Zip], "")=""),
       "INCOMPLETE ADDRESS",
       _xlfn.CONCAT(
           _xlfn.XLOOKUP(B78, MasterTable[IRA Custodian], MasterTable[City], ""), ", ",
           _xlfn.XLOOKUP(B78, MasterTable[IRA Custodian], MasterTable[State], ""), " ",
           _xlfn.XLOOKUP(B78, MasterTable[IRA Custodian], MasterTable[Zip], "")
       )
   )
)</f>
        <v>Empty Row</v>
      </c>
    </row>
    <row r="79" spans="1:10" x14ac:dyDescent="0.25">
      <c r="A79" t="str">
        <f>IF(D79="Empty Row", "Empty Row",
   _xlfn.LET(
       _xlpm.lookupResult, _xlfn.XLOOKUP(D79, RawDataTable[Account Name and Number], RawDataTable[Entity], "RAW DATA MISSING"),
       IF(ISBLANK(_xlpm.lookupResult), "RAW DATA MISSING", _xlpm.lookupResult)
   )
)</f>
        <v>Empty Row</v>
      </c>
      <c r="B79" t="str">
        <f>IF(D79="Empty Row", "Empty Row",
   _xlfn.LET(
       _xlpm.rawDataLookup, _xlfn.XLOOKUP(D79,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79" s="56" t="str" cm="1">
        <f t="array" ref="C79">IF(D79="Empty Row", "Empty Row",
   IF(COUNTIF('Name Mapping'!H:AD, D79) &gt; 0,
      INDEX('Name Mapping'!F:F, MATCH(TRUE, MMULT(--('Name Mapping'!H:AD=D79), TRANSPOSE(COLUMN('Name Mapping'!H:AD)^0)) &gt; 0, 0)),
      "")
)</f>
        <v>Empty Row</v>
      </c>
      <c r="D79" t="str">
        <f>IF(RawDataTable[[#This Row],[Account Name and Number]]&lt;&gt;"", RawDataTable[[#This Row],[Account Name and Number]], "Empty Row")</f>
        <v>Empty Row</v>
      </c>
      <c r="E79" s="28" t="str">
        <f>IF(D79="Empty Row", "Empty Row",
   _xlfn.LET(
       _xlpm.lookupResult, _xlfn.XLOOKUP(D79, RawDataTable[Account Name and Number], RawDataTable[Investment Date], "MISSING VALUE"),
       IF(ISNUMBER(_xlpm.lookupResult), _xlpm.lookupResult, "INVALID VALUE")
   )
)</f>
        <v>Empty Row</v>
      </c>
      <c r="F79" s="29" t="str">
        <f>IF(D79="Empty Row", "Empty Row",
   _xlfn.LET(
       _xlpm.lookupResult, _xlfn.XLOOKUP(D79, RawDataTable[Account Name and Number], RawDataTable[Investment Amount], "MISSING VALUE"),
       IF(ISNUMBER(_xlpm.lookupResult), _xlpm.lookupResult, "INVALID VALUE")
   )
)</f>
        <v>Empty Row</v>
      </c>
      <c r="G79" s="28" t="str">
        <f t="shared" ca="1" si="1"/>
        <v>Empty Row</v>
      </c>
      <c r="H79" s="29" t="str">
        <f>IF(D79="Empty Row", "Empty Row",
   _xlfn.LET(
       _xlpm.lookupResult, _xlfn.XLOOKUP(D79, RawDataTable[Account Name and Number], RawDataTable[Valuation Amount], "MISSING VALUE"),
       IF(ISNUMBER(_xlpm.lookupResult), _xlpm.lookupResult, "INVALID VALUE")
   )
)</f>
        <v>Empty Row</v>
      </c>
      <c r="I79" s="2" t="str">
        <f>IF(D79="Empty Row", "Empty Row", IF(_xlfn.XLOOKUP(B79, MasterTable[IRA Custodian], MasterTable[Address], "")="", "NO STREET NAME FOUND", _xlfn.XLOOKUP(B79, MasterTable[IRA Custodian], MasterTable[Address], "")))</f>
        <v>Empty Row</v>
      </c>
      <c r="J79" s="2" t="str">
        <f>IF(D79="Empty Row", "Empty Row",
   IF(OR(
       _xlfn.XLOOKUP(B79, MasterTable[IRA Custodian], MasterTable[City], "")="",
       _xlfn.XLOOKUP(B79, MasterTable[IRA Custodian], MasterTable[State], "")="",
       _xlfn.XLOOKUP(B79, MasterTable[IRA Custodian], MasterTable[Zip], "")=""),
       "INCOMPLETE ADDRESS",
       _xlfn.CONCAT(
           _xlfn.XLOOKUP(B79, MasterTable[IRA Custodian], MasterTable[City], ""), ", ",
           _xlfn.XLOOKUP(B79, MasterTable[IRA Custodian], MasterTable[State], ""), " ",
           _xlfn.XLOOKUP(B79, MasterTable[IRA Custodian], MasterTable[Zip], "")
       )
   )
)</f>
        <v>Empty Row</v>
      </c>
    </row>
    <row r="80" spans="1:10" x14ac:dyDescent="0.25">
      <c r="A80" t="str">
        <f>IF(D80="Empty Row", "Empty Row",
   _xlfn.LET(
       _xlpm.lookupResult, _xlfn.XLOOKUP(D80, RawDataTable[Account Name and Number], RawDataTable[Entity], "RAW DATA MISSING"),
       IF(ISBLANK(_xlpm.lookupResult), "RAW DATA MISSING", _xlpm.lookupResult)
   )
)</f>
        <v>Empty Row</v>
      </c>
      <c r="B80" t="str">
        <f>IF(D80="Empty Row", "Empty Row",
   _xlfn.LET(
       _xlpm.rawDataLookup, _xlfn.XLOOKUP(D80,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80" s="56" t="str" cm="1">
        <f t="array" ref="C80">IF(D80="Empty Row", "Empty Row",
   IF(COUNTIF('Name Mapping'!H:AD, D80) &gt; 0,
      INDEX('Name Mapping'!F:F, MATCH(TRUE, MMULT(--('Name Mapping'!H:AD=D80), TRANSPOSE(COLUMN('Name Mapping'!H:AD)^0)) &gt; 0, 0)),
      "")
)</f>
        <v>Empty Row</v>
      </c>
      <c r="D80" t="str">
        <f>IF(RawDataTable[[#This Row],[Account Name and Number]]&lt;&gt;"", RawDataTable[[#This Row],[Account Name and Number]], "Empty Row")</f>
        <v>Empty Row</v>
      </c>
      <c r="E80" s="28" t="str">
        <f>IF(D80="Empty Row", "Empty Row",
   _xlfn.LET(
       _xlpm.lookupResult, _xlfn.XLOOKUP(D80, RawDataTable[Account Name and Number], RawDataTable[Investment Date], "MISSING VALUE"),
       IF(ISNUMBER(_xlpm.lookupResult), _xlpm.lookupResult, "INVALID VALUE")
   )
)</f>
        <v>Empty Row</v>
      </c>
      <c r="F80" s="29" t="str">
        <f>IF(D80="Empty Row", "Empty Row",
   _xlfn.LET(
       _xlpm.lookupResult, _xlfn.XLOOKUP(D80, RawDataTable[Account Name and Number], RawDataTable[Investment Amount], "MISSING VALUE"),
       IF(ISNUMBER(_xlpm.lookupResult), _xlpm.lookupResult, "INVALID VALUE")
   )
)</f>
        <v>Empty Row</v>
      </c>
      <c r="G80" s="28" t="str">
        <f t="shared" ca="1" si="1"/>
        <v>Empty Row</v>
      </c>
      <c r="H80" s="29" t="str">
        <f>IF(D80="Empty Row", "Empty Row",
   _xlfn.LET(
       _xlpm.lookupResult, _xlfn.XLOOKUP(D80, RawDataTable[Account Name and Number], RawDataTable[Valuation Amount], "MISSING VALUE"),
       IF(ISNUMBER(_xlpm.lookupResult), _xlpm.lookupResult, "INVALID VALUE")
   )
)</f>
        <v>Empty Row</v>
      </c>
      <c r="I80" s="2" t="str">
        <f>IF(D80="Empty Row", "Empty Row", IF(_xlfn.XLOOKUP(B80, MasterTable[IRA Custodian], MasterTable[Address], "")="", "NO STREET NAME FOUND", _xlfn.XLOOKUP(B80, MasterTable[IRA Custodian], MasterTable[Address], "")))</f>
        <v>Empty Row</v>
      </c>
      <c r="J80" s="2" t="str">
        <f>IF(D80="Empty Row", "Empty Row",
   IF(OR(
       _xlfn.XLOOKUP(B80, MasterTable[IRA Custodian], MasterTable[City], "")="",
       _xlfn.XLOOKUP(B80, MasterTable[IRA Custodian], MasterTable[State], "")="",
       _xlfn.XLOOKUP(B80, MasterTable[IRA Custodian], MasterTable[Zip], "")=""),
       "INCOMPLETE ADDRESS",
       _xlfn.CONCAT(
           _xlfn.XLOOKUP(B80, MasterTable[IRA Custodian], MasterTable[City], ""), ", ",
           _xlfn.XLOOKUP(B80, MasterTable[IRA Custodian], MasterTable[State], ""), " ",
           _xlfn.XLOOKUP(B80, MasterTable[IRA Custodian], MasterTable[Zip], "")
       )
   )
)</f>
        <v>Empty Row</v>
      </c>
    </row>
    <row r="81" spans="1:10" x14ac:dyDescent="0.25">
      <c r="A81" t="str">
        <f>IF(D81="Empty Row", "Empty Row",
   _xlfn.LET(
       _xlpm.lookupResult, _xlfn.XLOOKUP(D81, RawDataTable[Account Name and Number], RawDataTable[Entity], "RAW DATA MISSING"),
       IF(ISBLANK(_xlpm.lookupResult), "RAW DATA MISSING", _xlpm.lookupResult)
   )
)</f>
        <v>Empty Row</v>
      </c>
      <c r="B81" t="str">
        <f>IF(D81="Empty Row", "Empty Row",
   _xlfn.LET(
       _xlpm.rawDataLookup, _xlfn.XLOOKUP(D81,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81" s="56" t="str" cm="1">
        <f t="array" ref="C81">IF(D81="Empty Row", "Empty Row",
   IF(COUNTIF('Name Mapping'!H:AD, D81) &gt; 0,
      INDEX('Name Mapping'!F:F, MATCH(TRUE, MMULT(--('Name Mapping'!H:AD=D81), TRANSPOSE(COLUMN('Name Mapping'!H:AD)^0)) &gt; 0, 0)),
      "")
)</f>
        <v>Empty Row</v>
      </c>
      <c r="D81" t="str">
        <f>IF(RawDataTable[[#This Row],[Account Name and Number]]&lt;&gt;"", RawDataTable[[#This Row],[Account Name and Number]], "Empty Row")</f>
        <v>Empty Row</v>
      </c>
      <c r="E81" s="28" t="str">
        <f>IF(D81="Empty Row", "Empty Row",
   _xlfn.LET(
       _xlpm.lookupResult, _xlfn.XLOOKUP(D81, RawDataTable[Account Name and Number], RawDataTable[Investment Date], "MISSING VALUE"),
       IF(ISNUMBER(_xlpm.lookupResult), _xlpm.lookupResult, "INVALID VALUE")
   )
)</f>
        <v>Empty Row</v>
      </c>
      <c r="F81" s="29" t="str">
        <f>IF(D81="Empty Row", "Empty Row",
   _xlfn.LET(
       _xlpm.lookupResult, _xlfn.XLOOKUP(D81, RawDataTable[Account Name and Number], RawDataTable[Investment Amount], "MISSING VALUE"),
       IF(ISNUMBER(_xlpm.lookupResult), _xlpm.lookupResult, "INVALID VALUE")
   )
)</f>
        <v>Empty Row</v>
      </c>
      <c r="G81" s="28" t="str">
        <f t="shared" ca="1" si="1"/>
        <v>Empty Row</v>
      </c>
      <c r="H81" s="29" t="str">
        <f>IF(D81="Empty Row", "Empty Row",
   _xlfn.LET(
       _xlpm.lookupResult, _xlfn.XLOOKUP(D81, RawDataTable[Account Name and Number], RawDataTable[Valuation Amount], "MISSING VALUE"),
       IF(ISNUMBER(_xlpm.lookupResult), _xlpm.lookupResult, "INVALID VALUE")
   )
)</f>
        <v>Empty Row</v>
      </c>
      <c r="I81" s="2" t="str">
        <f>IF(D81="Empty Row", "Empty Row", IF(_xlfn.XLOOKUP(B81, MasterTable[IRA Custodian], MasterTable[Address], "")="", "NO STREET NAME FOUND", _xlfn.XLOOKUP(B81, MasterTable[IRA Custodian], MasterTable[Address], "")))</f>
        <v>Empty Row</v>
      </c>
      <c r="J81" s="2" t="str">
        <f>IF(D81="Empty Row", "Empty Row",
   IF(OR(
       _xlfn.XLOOKUP(B81, MasterTable[IRA Custodian], MasterTable[City], "")="",
       _xlfn.XLOOKUP(B81, MasterTable[IRA Custodian], MasterTable[State], "")="",
       _xlfn.XLOOKUP(B81, MasterTable[IRA Custodian], MasterTable[Zip], "")=""),
       "INCOMPLETE ADDRESS",
       _xlfn.CONCAT(
           _xlfn.XLOOKUP(B81, MasterTable[IRA Custodian], MasterTable[City], ""), ", ",
           _xlfn.XLOOKUP(B81, MasterTable[IRA Custodian], MasterTable[State], ""), " ",
           _xlfn.XLOOKUP(B81, MasterTable[IRA Custodian], MasterTable[Zip], "")
       )
   )
)</f>
        <v>Empty Row</v>
      </c>
    </row>
    <row r="82" spans="1:10" x14ac:dyDescent="0.25">
      <c r="A82" t="str">
        <f>IF(D82="Empty Row", "Empty Row",
   _xlfn.LET(
       _xlpm.lookupResult, _xlfn.XLOOKUP(D82, RawDataTable[Account Name and Number], RawDataTable[Entity], "RAW DATA MISSING"),
       IF(ISBLANK(_xlpm.lookupResult), "RAW DATA MISSING", _xlpm.lookupResult)
   )
)</f>
        <v>Empty Row</v>
      </c>
      <c r="B82" t="str">
        <f>IF(D82="Empty Row", "Empty Row",
   _xlfn.LET(
       _xlpm.rawDataLookup, _xlfn.XLOOKUP(D82,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82" s="56" t="str" cm="1">
        <f t="array" ref="C82">IF(D82="Empty Row", "Empty Row",
   IF(COUNTIF('Name Mapping'!H:AD, D82) &gt; 0,
      INDEX('Name Mapping'!F:F, MATCH(TRUE, MMULT(--('Name Mapping'!H:AD=D82), TRANSPOSE(COLUMN('Name Mapping'!H:AD)^0)) &gt; 0, 0)),
      "")
)</f>
        <v>Empty Row</v>
      </c>
      <c r="D82" t="str">
        <f>IF(RawDataTable[[#This Row],[Account Name and Number]]&lt;&gt;"", RawDataTable[[#This Row],[Account Name and Number]], "Empty Row")</f>
        <v>Empty Row</v>
      </c>
      <c r="E82" s="28" t="str">
        <f>IF(D82="Empty Row", "Empty Row",
   _xlfn.LET(
       _xlpm.lookupResult, _xlfn.XLOOKUP(D82, RawDataTable[Account Name and Number], RawDataTable[Investment Date], "MISSING VALUE"),
       IF(ISNUMBER(_xlpm.lookupResult), _xlpm.lookupResult, "INVALID VALUE")
   )
)</f>
        <v>Empty Row</v>
      </c>
      <c r="F82" s="29" t="str">
        <f>IF(D82="Empty Row", "Empty Row",
   _xlfn.LET(
       _xlpm.lookupResult, _xlfn.XLOOKUP(D82, RawDataTable[Account Name and Number], RawDataTable[Investment Amount], "MISSING VALUE"),
       IF(ISNUMBER(_xlpm.lookupResult), _xlpm.lookupResult, "INVALID VALUE")
   )
)</f>
        <v>Empty Row</v>
      </c>
      <c r="G82" s="28" t="str">
        <f t="shared" ca="1" si="1"/>
        <v>Empty Row</v>
      </c>
      <c r="H82" s="29" t="str">
        <f>IF(D82="Empty Row", "Empty Row",
   _xlfn.LET(
       _xlpm.lookupResult, _xlfn.XLOOKUP(D82, RawDataTable[Account Name and Number], RawDataTable[Valuation Amount], "MISSING VALUE"),
       IF(ISNUMBER(_xlpm.lookupResult), _xlpm.lookupResult, "INVALID VALUE")
   )
)</f>
        <v>Empty Row</v>
      </c>
      <c r="I82" s="2" t="str">
        <f>IF(D82="Empty Row", "Empty Row", IF(_xlfn.XLOOKUP(B82, MasterTable[IRA Custodian], MasterTable[Address], "")="", "NO STREET NAME FOUND", _xlfn.XLOOKUP(B82, MasterTable[IRA Custodian], MasterTable[Address], "")))</f>
        <v>Empty Row</v>
      </c>
      <c r="J82" s="2" t="str">
        <f>IF(D82="Empty Row", "Empty Row",
   IF(OR(
       _xlfn.XLOOKUP(B82, MasterTable[IRA Custodian], MasterTable[City], "")="",
       _xlfn.XLOOKUP(B82, MasterTable[IRA Custodian], MasterTable[State], "")="",
       _xlfn.XLOOKUP(B82, MasterTable[IRA Custodian], MasterTable[Zip], "")=""),
       "INCOMPLETE ADDRESS",
       _xlfn.CONCAT(
           _xlfn.XLOOKUP(B82, MasterTable[IRA Custodian], MasterTable[City], ""), ", ",
           _xlfn.XLOOKUP(B82, MasterTable[IRA Custodian], MasterTable[State], ""), " ",
           _xlfn.XLOOKUP(B82, MasterTable[IRA Custodian], MasterTable[Zip], "")
       )
   )
)</f>
        <v>Empty Row</v>
      </c>
    </row>
    <row r="83" spans="1:10" x14ac:dyDescent="0.25">
      <c r="A83" t="str">
        <f>IF(D83="Empty Row", "Empty Row",
   _xlfn.LET(
       _xlpm.lookupResult, _xlfn.XLOOKUP(D83, RawDataTable[Account Name and Number], RawDataTable[Entity], "RAW DATA MISSING"),
       IF(ISBLANK(_xlpm.lookupResult), "RAW DATA MISSING", _xlpm.lookupResult)
   )
)</f>
        <v>Empty Row</v>
      </c>
      <c r="B83" t="str">
        <f>IF(D83="Empty Row", "Empty Row",
   _xlfn.LET(
       _xlpm.rawDataLookup, _xlfn.XLOOKUP(D83,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83" s="56" t="str" cm="1">
        <f t="array" ref="C83">IF(D83="Empty Row", "Empty Row",
   IF(COUNTIF('Name Mapping'!H:AD, D83) &gt; 0,
      INDEX('Name Mapping'!F:F, MATCH(TRUE, MMULT(--('Name Mapping'!H:AD=D83), TRANSPOSE(COLUMN('Name Mapping'!H:AD)^0)) &gt; 0, 0)),
      "")
)</f>
        <v>Empty Row</v>
      </c>
      <c r="D83" t="str">
        <f>IF(RawDataTable[[#This Row],[Account Name and Number]]&lt;&gt;"", RawDataTable[[#This Row],[Account Name and Number]], "Empty Row")</f>
        <v>Empty Row</v>
      </c>
      <c r="E83" s="28" t="str">
        <f>IF(D83="Empty Row", "Empty Row",
   _xlfn.LET(
       _xlpm.lookupResult, _xlfn.XLOOKUP(D83, RawDataTable[Account Name and Number], RawDataTable[Investment Date], "MISSING VALUE"),
       IF(ISNUMBER(_xlpm.lookupResult), _xlpm.lookupResult, "INVALID VALUE")
   )
)</f>
        <v>Empty Row</v>
      </c>
      <c r="F83" s="29" t="str">
        <f>IF(D83="Empty Row", "Empty Row",
   _xlfn.LET(
       _xlpm.lookupResult, _xlfn.XLOOKUP(D83, RawDataTable[Account Name and Number], RawDataTable[Investment Amount], "MISSING VALUE"),
       IF(ISNUMBER(_xlpm.lookupResult), _xlpm.lookupResult, "INVALID VALUE")
   )
)</f>
        <v>Empty Row</v>
      </c>
      <c r="G83" s="28" t="str">
        <f t="shared" ca="1" si="1"/>
        <v>Empty Row</v>
      </c>
      <c r="H83" s="29" t="str">
        <f>IF(D83="Empty Row", "Empty Row",
   _xlfn.LET(
       _xlpm.lookupResult, _xlfn.XLOOKUP(D83, RawDataTable[Account Name and Number], RawDataTable[Valuation Amount], "MISSING VALUE"),
       IF(ISNUMBER(_xlpm.lookupResult), _xlpm.lookupResult, "INVALID VALUE")
   )
)</f>
        <v>Empty Row</v>
      </c>
      <c r="I83" s="2" t="str">
        <f>IF(D83="Empty Row", "Empty Row", IF(_xlfn.XLOOKUP(B83, MasterTable[IRA Custodian], MasterTable[Address], "")="", "NO STREET NAME FOUND", _xlfn.XLOOKUP(B83, MasterTable[IRA Custodian], MasterTable[Address], "")))</f>
        <v>Empty Row</v>
      </c>
      <c r="J83" s="2" t="str">
        <f>IF(D83="Empty Row", "Empty Row",
   IF(OR(
       _xlfn.XLOOKUP(B83, MasterTable[IRA Custodian], MasterTable[City], "")="",
       _xlfn.XLOOKUP(B83, MasterTable[IRA Custodian], MasterTable[State], "")="",
       _xlfn.XLOOKUP(B83, MasterTable[IRA Custodian], MasterTable[Zip], "")=""),
       "INCOMPLETE ADDRESS",
       _xlfn.CONCAT(
           _xlfn.XLOOKUP(B83, MasterTable[IRA Custodian], MasterTable[City], ""), ", ",
           _xlfn.XLOOKUP(B83, MasterTable[IRA Custodian], MasterTable[State], ""), " ",
           _xlfn.XLOOKUP(B83, MasterTable[IRA Custodian], MasterTable[Zip], "")
       )
   )
)</f>
        <v>Empty Row</v>
      </c>
    </row>
    <row r="84" spans="1:10" x14ac:dyDescent="0.25">
      <c r="A84" t="str">
        <f>IF(D84="Empty Row", "Empty Row",
   _xlfn.LET(
       _xlpm.lookupResult, _xlfn.XLOOKUP(D84, RawDataTable[Account Name and Number], RawDataTable[Entity], "RAW DATA MISSING"),
       IF(ISBLANK(_xlpm.lookupResult), "RAW DATA MISSING", _xlpm.lookupResult)
   )
)</f>
        <v>Empty Row</v>
      </c>
      <c r="B84" t="str">
        <f>IF(D84="Empty Row", "Empty Row",
   _xlfn.LET(
       _xlpm.rawDataLookup, _xlfn.XLOOKUP(D84,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84" s="56" t="str" cm="1">
        <f t="array" ref="C84">IF(D84="Empty Row", "Empty Row",
   IF(COUNTIF('Name Mapping'!H:AD, D84) &gt; 0,
      INDEX('Name Mapping'!F:F, MATCH(TRUE, MMULT(--('Name Mapping'!H:AD=D84), TRANSPOSE(COLUMN('Name Mapping'!H:AD)^0)) &gt; 0, 0)),
      "")
)</f>
        <v>Empty Row</v>
      </c>
      <c r="D84" t="str">
        <f>IF(RawDataTable[[#This Row],[Account Name and Number]]&lt;&gt;"", RawDataTable[[#This Row],[Account Name and Number]], "Empty Row")</f>
        <v>Empty Row</v>
      </c>
      <c r="E84" s="28" t="str">
        <f>IF(D84="Empty Row", "Empty Row",
   _xlfn.LET(
       _xlpm.lookupResult, _xlfn.XLOOKUP(D84, RawDataTable[Account Name and Number], RawDataTable[Investment Date], "MISSING VALUE"),
       IF(ISNUMBER(_xlpm.lookupResult), _xlpm.lookupResult, "INVALID VALUE")
   )
)</f>
        <v>Empty Row</v>
      </c>
      <c r="F84" s="29" t="str">
        <f>IF(D84="Empty Row", "Empty Row",
   _xlfn.LET(
       _xlpm.lookupResult, _xlfn.XLOOKUP(D84, RawDataTable[Account Name and Number], RawDataTable[Investment Amount], "MISSING VALUE"),
       IF(ISNUMBER(_xlpm.lookupResult), _xlpm.lookupResult, "INVALID VALUE")
   )
)</f>
        <v>Empty Row</v>
      </c>
      <c r="G84" s="28" t="str">
        <f t="shared" ca="1" si="1"/>
        <v>Empty Row</v>
      </c>
      <c r="H84" s="29" t="str">
        <f>IF(D84="Empty Row", "Empty Row",
   _xlfn.LET(
       _xlpm.lookupResult, _xlfn.XLOOKUP(D84, RawDataTable[Account Name and Number], RawDataTable[Valuation Amount], "MISSING VALUE"),
       IF(ISNUMBER(_xlpm.lookupResult), _xlpm.lookupResult, "INVALID VALUE")
   )
)</f>
        <v>Empty Row</v>
      </c>
      <c r="I84" s="2" t="str">
        <f>IF(D84="Empty Row", "Empty Row", IF(_xlfn.XLOOKUP(B84, MasterTable[IRA Custodian], MasterTable[Address], "")="", "NO STREET NAME FOUND", _xlfn.XLOOKUP(B84, MasterTable[IRA Custodian], MasterTable[Address], "")))</f>
        <v>Empty Row</v>
      </c>
      <c r="J84" s="2" t="str">
        <f>IF(D84="Empty Row", "Empty Row",
   IF(OR(
       _xlfn.XLOOKUP(B84, MasterTable[IRA Custodian], MasterTable[City], "")="",
       _xlfn.XLOOKUP(B84, MasterTable[IRA Custodian], MasterTable[State], "")="",
       _xlfn.XLOOKUP(B84, MasterTable[IRA Custodian], MasterTable[Zip], "")=""),
       "INCOMPLETE ADDRESS",
       _xlfn.CONCAT(
           _xlfn.XLOOKUP(B84, MasterTable[IRA Custodian], MasterTable[City], ""), ", ",
           _xlfn.XLOOKUP(B84, MasterTable[IRA Custodian], MasterTable[State], ""), " ",
           _xlfn.XLOOKUP(B84, MasterTable[IRA Custodian], MasterTable[Zip], "")
       )
   )
)</f>
        <v>Empty Row</v>
      </c>
    </row>
    <row r="85" spans="1:10" x14ac:dyDescent="0.25">
      <c r="A85" t="str">
        <f>IF(D85="Empty Row", "Empty Row",
   _xlfn.LET(
       _xlpm.lookupResult, _xlfn.XLOOKUP(D85, RawDataTable[Account Name and Number], RawDataTable[Entity], "RAW DATA MISSING"),
       IF(ISBLANK(_xlpm.lookupResult), "RAW DATA MISSING", _xlpm.lookupResult)
   )
)</f>
        <v>Empty Row</v>
      </c>
      <c r="B85" t="str">
        <f>IF(D85="Empty Row", "Empty Row",
   _xlfn.LET(
       _xlpm.rawDataLookup, _xlfn.XLOOKUP(D85,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85" s="56" t="str" cm="1">
        <f t="array" ref="C85">IF(D85="Empty Row", "Empty Row",
   IF(COUNTIF('Name Mapping'!H:AD, D85) &gt; 0,
      INDEX('Name Mapping'!F:F, MATCH(TRUE, MMULT(--('Name Mapping'!H:AD=D85), TRANSPOSE(COLUMN('Name Mapping'!H:AD)^0)) &gt; 0, 0)),
      "")
)</f>
        <v>Empty Row</v>
      </c>
      <c r="D85" t="str">
        <f>IF(RawDataTable[[#This Row],[Account Name and Number]]&lt;&gt;"", RawDataTable[[#This Row],[Account Name and Number]], "Empty Row")</f>
        <v>Empty Row</v>
      </c>
      <c r="E85" s="28" t="str">
        <f>IF(D85="Empty Row", "Empty Row",
   _xlfn.LET(
       _xlpm.lookupResult, _xlfn.XLOOKUP(D85, RawDataTable[Account Name and Number], RawDataTable[Investment Date], "MISSING VALUE"),
       IF(ISNUMBER(_xlpm.lookupResult), _xlpm.lookupResult, "INVALID VALUE")
   )
)</f>
        <v>Empty Row</v>
      </c>
      <c r="F85" s="29" t="str">
        <f>IF(D85="Empty Row", "Empty Row",
   _xlfn.LET(
       _xlpm.lookupResult, _xlfn.XLOOKUP(D85, RawDataTable[Account Name and Number], RawDataTable[Investment Amount], "MISSING VALUE"),
       IF(ISNUMBER(_xlpm.lookupResult), _xlpm.lookupResult, "INVALID VALUE")
   )
)</f>
        <v>Empty Row</v>
      </c>
      <c r="G85" s="28" t="str">
        <f t="shared" ca="1" si="1"/>
        <v>Empty Row</v>
      </c>
      <c r="H85" s="29" t="str">
        <f>IF(D85="Empty Row", "Empty Row",
   _xlfn.LET(
       _xlpm.lookupResult, _xlfn.XLOOKUP(D85, RawDataTable[Account Name and Number], RawDataTable[Valuation Amount], "MISSING VALUE"),
       IF(ISNUMBER(_xlpm.lookupResult), _xlpm.lookupResult, "INVALID VALUE")
   )
)</f>
        <v>Empty Row</v>
      </c>
      <c r="I85" s="2" t="str">
        <f>IF(D85="Empty Row", "Empty Row", IF(_xlfn.XLOOKUP(B85, MasterTable[IRA Custodian], MasterTable[Address], "")="", "NO STREET NAME FOUND", _xlfn.XLOOKUP(B85, MasterTable[IRA Custodian], MasterTable[Address], "")))</f>
        <v>Empty Row</v>
      </c>
      <c r="J85" s="2" t="str">
        <f>IF(D85="Empty Row", "Empty Row",
   IF(OR(
       _xlfn.XLOOKUP(B85, MasterTable[IRA Custodian], MasterTable[City], "")="",
       _xlfn.XLOOKUP(B85, MasterTable[IRA Custodian], MasterTable[State], "")="",
       _xlfn.XLOOKUP(B85, MasterTable[IRA Custodian], MasterTable[Zip], "")=""),
       "INCOMPLETE ADDRESS",
       _xlfn.CONCAT(
           _xlfn.XLOOKUP(B85, MasterTable[IRA Custodian], MasterTable[City], ""), ", ",
           _xlfn.XLOOKUP(B85, MasterTable[IRA Custodian], MasterTable[State], ""), " ",
           _xlfn.XLOOKUP(B85, MasterTable[IRA Custodian], MasterTable[Zip], "")
       )
   )
)</f>
        <v>Empty Row</v>
      </c>
    </row>
    <row r="86" spans="1:10" x14ac:dyDescent="0.25">
      <c r="A86" t="str">
        <f>IF(D86="Empty Row", "Empty Row",
   _xlfn.LET(
       _xlpm.lookupResult, _xlfn.XLOOKUP(D86, RawDataTable[Account Name and Number], RawDataTable[Entity], "RAW DATA MISSING"),
       IF(ISBLANK(_xlpm.lookupResult), "RAW DATA MISSING", _xlpm.lookupResult)
   )
)</f>
        <v>Empty Row</v>
      </c>
      <c r="B86" t="str">
        <f>IF(D86="Empty Row", "Empty Row",
   _xlfn.LET(
       _xlpm.rawDataLookup, _xlfn.XLOOKUP(D86,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86" s="56" t="str" cm="1">
        <f t="array" ref="C86">IF(D86="Empty Row", "Empty Row",
   IF(COUNTIF('Name Mapping'!H:AD, D86) &gt; 0,
      INDEX('Name Mapping'!F:F, MATCH(TRUE, MMULT(--('Name Mapping'!H:AD=D86), TRANSPOSE(COLUMN('Name Mapping'!H:AD)^0)) &gt; 0, 0)),
      "")
)</f>
        <v>Empty Row</v>
      </c>
      <c r="D86" t="str">
        <f>IF(RawDataTable[[#This Row],[Account Name and Number]]&lt;&gt;"", RawDataTable[[#This Row],[Account Name and Number]], "Empty Row")</f>
        <v>Empty Row</v>
      </c>
      <c r="E86" s="28" t="str">
        <f>IF(D86="Empty Row", "Empty Row",
   _xlfn.LET(
       _xlpm.lookupResult, _xlfn.XLOOKUP(D86, RawDataTable[Account Name and Number], RawDataTable[Investment Date], "MISSING VALUE"),
       IF(ISNUMBER(_xlpm.lookupResult), _xlpm.lookupResult, "INVALID VALUE")
   )
)</f>
        <v>Empty Row</v>
      </c>
      <c r="F86" s="29" t="str">
        <f>IF(D86="Empty Row", "Empty Row",
   _xlfn.LET(
       _xlpm.lookupResult, _xlfn.XLOOKUP(D86, RawDataTable[Account Name and Number], RawDataTable[Investment Amount], "MISSING VALUE"),
       IF(ISNUMBER(_xlpm.lookupResult), _xlpm.lookupResult, "INVALID VALUE")
   )
)</f>
        <v>Empty Row</v>
      </c>
      <c r="G86" s="28" t="str">
        <f t="shared" ca="1" si="1"/>
        <v>Empty Row</v>
      </c>
      <c r="H86" s="29" t="str">
        <f>IF(D86="Empty Row", "Empty Row",
   _xlfn.LET(
       _xlpm.lookupResult, _xlfn.XLOOKUP(D86, RawDataTable[Account Name and Number], RawDataTable[Valuation Amount], "MISSING VALUE"),
       IF(ISNUMBER(_xlpm.lookupResult), _xlpm.lookupResult, "INVALID VALUE")
   )
)</f>
        <v>Empty Row</v>
      </c>
      <c r="I86" s="2" t="str">
        <f>IF(D86="Empty Row", "Empty Row", IF(_xlfn.XLOOKUP(B86, MasterTable[IRA Custodian], MasterTable[Address], "")="", "NO STREET NAME FOUND", _xlfn.XLOOKUP(B86, MasterTable[IRA Custodian], MasterTable[Address], "")))</f>
        <v>Empty Row</v>
      </c>
      <c r="J86" s="2" t="str">
        <f>IF(D86="Empty Row", "Empty Row",
   IF(OR(
       _xlfn.XLOOKUP(B86, MasterTable[IRA Custodian], MasterTable[City], "")="",
       _xlfn.XLOOKUP(B86, MasterTable[IRA Custodian], MasterTable[State], "")="",
       _xlfn.XLOOKUP(B86, MasterTable[IRA Custodian], MasterTable[Zip], "")=""),
       "INCOMPLETE ADDRESS",
       _xlfn.CONCAT(
           _xlfn.XLOOKUP(B86, MasterTable[IRA Custodian], MasterTable[City], ""), ", ",
           _xlfn.XLOOKUP(B86, MasterTable[IRA Custodian], MasterTable[State], ""), " ",
           _xlfn.XLOOKUP(B86, MasterTable[IRA Custodian], MasterTable[Zip], "")
       )
   )
)</f>
        <v>Empty Row</v>
      </c>
    </row>
    <row r="87" spans="1:10" x14ac:dyDescent="0.25">
      <c r="A87" t="str">
        <f>IF(D87="Empty Row", "Empty Row",
   _xlfn.LET(
       _xlpm.lookupResult, _xlfn.XLOOKUP(D87, RawDataTable[Account Name and Number], RawDataTable[Entity], "RAW DATA MISSING"),
       IF(ISBLANK(_xlpm.lookupResult), "RAW DATA MISSING", _xlpm.lookupResult)
   )
)</f>
        <v>Empty Row</v>
      </c>
      <c r="B87" t="str">
        <f>IF(D87="Empty Row", "Empty Row",
   _xlfn.LET(
       _xlpm.rawDataLookup, _xlfn.XLOOKUP(D87,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87" s="56" t="str" cm="1">
        <f t="array" ref="C87">IF(D87="Empty Row", "Empty Row",
   IF(COUNTIF('Name Mapping'!H:AD, D87) &gt; 0,
      INDEX('Name Mapping'!F:F, MATCH(TRUE, MMULT(--('Name Mapping'!H:AD=D87), TRANSPOSE(COLUMN('Name Mapping'!H:AD)^0)) &gt; 0, 0)),
      "")
)</f>
        <v>Empty Row</v>
      </c>
      <c r="D87" t="str">
        <f>IF(RawDataTable[[#This Row],[Account Name and Number]]&lt;&gt;"", RawDataTable[[#This Row],[Account Name and Number]], "Empty Row")</f>
        <v>Empty Row</v>
      </c>
      <c r="E87" s="28" t="str">
        <f>IF(D87="Empty Row", "Empty Row",
   _xlfn.LET(
       _xlpm.lookupResult, _xlfn.XLOOKUP(D87, RawDataTable[Account Name and Number], RawDataTable[Investment Date], "MISSING VALUE"),
       IF(ISNUMBER(_xlpm.lookupResult), _xlpm.lookupResult, "INVALID VALUE")
   )
)</f>
        <v>Empty Row</v>
      </c>
      <c r="F87" s="29" t="str">
        <f>IF(D87="Empty Row", "Empty Row",
   _xlfn.LET(
       _xlpm.lookupResult, _xlfn.XLOOKUP(D87, RawDataTable[Account Name and Number], RawDataTable[Investment Amount], "MISSING VALUE"),
       IF(ISNUMBER(_xlpm.lookupResult), _xlpm.lookupResult, "INVALID VALUE")
   )
)</f>
        <v>Empty Row</v>
      </c>
      <c r="G87" s="28" t="str">
        <f t="shared" ca="1" si="1"/>
        <v>Empty Row</v>
      </c>
      <c r="H87" s="29" t="str">
        <f>IF(D87="Empty Row", "Empty Row",
   _xlfn.LET(
       _xlpm.lookupResult, _xlfn.XLOOKUP(D87, RawDataTable[Account Name and Number], RawDataTable[Valuation Amount], "MISSING VALUE"),
       IF(ISNUMBER(_xlpm.lookupResult), _xlpm.lookupResult, "INVALID VALUE")
   )
)</f>
        <v>Empty Row</v>
      </c>
      <c r="I87" s="2" t="str">
        <f>IF(D87="Empty Row", "Empty Row", IF(_xlfn.XLOOKUP(B87, MasterTable[IRA Custodian], MasterTable[Address], "")="", "NO STREET NAME FOUND", _xlfn.XLOOKUP(B87, MasterTable[IRA Custodian], MasterTable[Address], "")))</f>
        <v>Empty Row</v>
      </c>
      <c r="J87" s="2" t="str">
        <f>IF(D87="Empty Row", "Empty Row",
   IF(OR(
       _xlfn.XLOOKUP(B87, MasterTable[IRA Custodian], MasterTable[City], "")="",
       _xlfn.XLOOKUP(B87, MasterTable[IRA Custodian], MasterTable[State], "")="",
       _xlfn.XLOOKUP(B87, MasterTable[IRA Custodian], MasterTable[Zip], "")=""),
       "INCOMPLETE ADDRESS",
       _xlfn.CONCAT(
           _xlfn.XLOOKUP(B87, MasterTable[IRA Custodian], MasterTable[City], ""), ", ",
           _xlfn.XLOOKUP(B87, MasterTable[IRA Custodian], MasterTable[State], ""), " ",
           _xlfn.XLOOKUP(B87, MasterTable[IRA Custodian], MasterTable[Zip], "")
       )
   )
)</f>
        <v>Empty Row</v>
      </c>
    </row>
    <row r="88" spans="1:10" x14ac:dyDescent="0.25">
      <c r="A88" t="str">
        <f>IF(D88="Empty Row", "Empty Row",
   _xlfn.LET(
       _xlpm.lookupResult, _xlfn.XLOOKUP(D88, RawDataTable[Account Name and Number], RawDataTable[Entity], "RAW DATA MISSING"),
       IF(ISBLANK(_xlpm.lookupResult), "RAW DATA MISSING", _xlpm.lookupResult)
   )
)</f>
        <v>Empty Row</v>
      </c>
      <c r="B88" t="str">
        <f>IF(D88="Empty Row", "Empty Row",
   _xlfn.LET(
       _xlpm.rawDataLookup, _xlfn.XLOOKUP(D88,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88" s="56" t="str" cm="1">
        <f t="array" ref="C88">IF(D88="Empty Row", "Empty Row",
   IF(COUNTIF('Name Mapping'!H:AD, D88) &gt; 0,
      INDEX('Name Mapping'!F:F, MATCH(TRUE, MMULT(--('Name Mapping'!H:AD=D88), TRANSPOSE(COLUMN('Name Mapping'!H:AD)^0)) &gt; 0, 0)),
      "")
)</f>
        <v>Empty Row</v>
      </c>
      <c r="D88" t="str">
        <f>IF(RawDataTable[[#This Row],[Account Name and Number]]&lt;&gt;"", RawDataTable[[#This Row],[Account Name and Number]], "Empty Row")</f>
        <v>Empty Row</v>
      </c>
      <c r="E88" s="28" t="str">
        <f>IF(D88="Empty Row", "Empty Row",
   _xlfn.LET(
       _xlpm.lookupResult, _xlfn.XLOOKUP(D88, RawDataTable[Account Name and Number], RawDataTable[Investment Date], "MISSING VALUE"),
       IF(ISNUMBER(_xlpm.lookupResult), _xlpm.lookupResult, "INVALID VALUE")
   )
)</f>
        <v>Empty Row</v>
      </c>
      <c r="F88" s="29" t="str">
        <f>IF(D88="Empty Row", "Empty Row",
   _xlfn.LET(
       _xlpm.lookupResult, _xlfn.XLOOKUP(D88, RawDataTable[Account Name and Number], RawDataTable[Investment Amount], "MISSING VALUE"),
       IF(ISNUMBER(_xlpm.lookupResult), _xlpm.lookupResult, "INVALID VALUE")
   )
)</f>
        <v>Empty Row</v>
      </c>
      <c r="G88" s="28" t="str">
        <f t="shared" ca="1" si="1"/>
        <v>Empty Row</v>
      </c>
      <c r="H88" s="29" t="str">
        <f>IF(D88="Empty Row", "Empty Row",
   _xlfn.LET(
       _xlpm.lookupResult, _xlfn.XLOOKUP(D88, RawDataTable[Account Name and Number], RawDataTable[Valuation Amount], "MISSING VALUE"),
       IF(ISNUMBER(_xlpm.lookupResult), _xlpm.lookupResult, "INVALID VALUE")
   )
)</f>
        <v>Empty Row</v>
      </c>
      <c r="I88" s="2" t="str">
        <f>IF(D88="Empty Row", "Empty Row", IF(_xlfn.XLOOKUP(B88, MasterTable[IRA Custodian], MasterTable[Address], "")="", "NO STREET NAME FOUND", _xlfn.XLOOKUP(B88, MasterTable[IRA Custodian], MasterTable[Address], "")))</f>
        <v>Empty Row</v>
      </c>
      <c r="J88" s="2" t="str">
        <f>IF(D88="Empty Row", "Empty Row",
   IF(OR(
       _xlfn.XLOOKUP(B88, MasterTable[IRA Custodian], MasterTable[City], "")="",
       _xlfn.XLOOKUP(B88, MasterTable[IRA Custodian], MasterTable[State], "")="",
       _xlfn.XLOOKUP(B88, MasterTable[IRA Custodian], MasterTable[Zip], "")=""),
       "INCOMPLETE ADDRESS",
       _xlfn.CONCAT(
           _xlfn.XLOOKUP(B88, MasterTable[IRA Custodian], MasterTable[City], ""), ", ",
           _xlfn.XLOOKUP(B88, MasterTable[IRA Custodian], MasterTable[State], ""), " ",
           _xlfn.XLOOKUP(B88, MasterTable[IRA Custodian], MasterTable[Zip], "")
       )
   )
)</f>
        <v>Empty Row</v>
      </c>
    </row>
    <row r="89" spans="1:10" x14ac:dyDescent="0.25">
      <c r="A89" t="str">
        <f>IF(D89="Empty Row", "Empty Row",
   _xlfn.LET(
       _xlpm.lookupResult, _xlfn.XLOOKUP(D89, RawDataTable[Account Name and Number], RawDataTable[Entity], "RAW DATA MISSING"),
       IF(ISBLANK(_xlpm.lookupResult), "RAW DATA MISSING", _xlpm.lookupResult)
   )
)</f>
        <v>Empty Row</v>
      </c>
      <c r="B89" t="str">
        <f>IF(D89="Empty Row", "Empty Row",
   _xlfn.LET(
       _xlpm.rawDataLookup, _xlfn.XLOOKUP(D89,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89" s="56" t="str" cm="1">
        <f t="array" ref="C89">IF(D89="Empty Row", "Empty Row",
   IF(COUNTIF('Name Mapping'!H:AD, D89) &gt; 0,
      INDEX('Name Mapping'!F:F, MATCH(TRUE, MMULT(--('Name Mapping'!H:AD=D89), TRANSPOSE(COLUMN('Name Mapping'!H:AD)^0)) &gt; 0, 0)),
      "")
)</f>
        <v>Empty Row</v>
      </c>
      <c r="D89" t="str">
        <f>IF(RawDataTable[[#This Row],[Account Name and Number]]&lt;&gt;"", RawDataTable[[#This Row],[Account Name and Number]], "Empty Row")</f>
        <v>Empty Row</v>
      </c>
      <c r="E89" s="28" t="str">
        <f>IF(D89="Empty Row", "Empty Row",
   _xlfn.LET(
       _xlpm.lookupResult, _xlfn.XLOOKUP(D89, RawDataTable[Account Name and Number], RawDataTable[Investment Date], "MISSING VALUE"),
       IF(ISNUMBER(_xlpm.lookupResult), _xlpm.lookupResult, "INVALID VALUE")
   )
)</f>
        <v>Empty Row</v>
      </c>
      <c r="F89" s="29" t="str">
        <f>IF(D89="Empty Row", "Empty Row",
   _xlfn.LET(
       _xlpm.lookupResult, _xlfn.XLOOKUP(D89, RawDataTable[Account Name and Number], RawDataTable[Investment Amount], "MISSING VALUE"),
       IF(ISNUMBER(_xlpm.lookupResult), _xlpm.lookupResult, "INVALID VALUE")
   )
)</f>
        <v>Empty Row</v>
      </c>
      <c r="G89" s="28" t="str">
        <f t="shared" ca="1" si="1"/>
        <v>Empty Row</v>
      </c>
      <c r="H89" s="29" t="str">
        <f>IF(D89="Empty Row", "Empty Row",
   _xlfn.LET(
       _xlpm.lookupResult, _xlfn.XLOOKUP(D89, RawDataTable[Account Name and Number], RawDataTable[Valuation Amount], "MISSING VALUE"),
       IF(ISNUMBER(_xlpm.lookupResult), _xlpm.lookupResult, "INVALID VALUE")
   )
)</f>
        <v>Empty Row</v>
      </c>
      <c r="I89" s="2" t="str">
        <f>IF(D89="Empty Row", "Empty Row", IF(_xlfn.XLOOKUP(B89, MasterTable[IRA Custodian], MasterTable[Address], "")="", "NO STREET NAME FOUND", _xlfn.XLOOKUP(B89, MasterTable[IRA Custodian], MasterTable[Address], "")))</f>
        <v>Empty Row</v>
      </c>
      <c r="J89" s="2" t="str">
        <f>IF(D89="Empty Row", "Empty Row",
   IF(OR(
       _xlfn.XLOOKUP(B89, MasterTable[IRA Custodian], MasterTable[City], "")="",
       _xlfn.XLOOKUP(B89, MasterTable[IRA Custodian], MasterTable[State], "")="",
       _xlfn.XLOOKUP(B89, MasterTable[IRA Custodian], MasterTable[Zip], "")=""),
       "INCOMPLETE ADDRESS",
       _xlfn.CONCAT(
           _xlfn.XLOOKUP(B89, MasterTable[IRA Custodian], MasterTable[City], ""), ", ",
           _xlfn.XLOOKUP(B89, MasterTable[IRA Custodian], MasterTable[State], ""), " ",
           _xlfn.XLOOKUP(B89, MasterTable[IRA Custodian], MasterTable[Zip], "")
       )
   )
)</f>
        <v>Empty Row</v>
      </c>
    </row>
    <row r="90" spans="1:10" x14ac:dyDescent="0.25">
      <c r="A90" t="str">
        <f>IF(D90="Empty Row", "Empty Row",
   _xlfn.LET(
       _xlpm.lookupResult, _xlfn.XLOOKUP(D90, RawDataTable[Account Name and Number], RawDataTable[Entity], "RAW DATA MISSING"),
       IF(ISBLANK(_xlpm.lookupResult), "RAW DATA MISSING", _xlpm.lookupResult)
   )
)</f>
        <v>Empty Row</v>
      </c>
      <c r="B90" t="str">
        <f>IF(D90="Empty Row", "Empty Row",
   _xlfn.LET(
       _xlpm.rawDataLookup, _xlfn.XLOOKUP(D90,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90" s="56" t="str" cm="1">
        <f t="array" ref="C90">IF(D90="Empty Row", "Empty Row",
   IF(COUNTIF('Name Mapping'!H:AD, D90) &gt; 0,
      INDEX('Name Mapping'!F:F, MATCH(TRUE, MMULT(--('Name Mapping'!H:AD=D90), TRANSPOSE(COLUMN('Name Mapping'!H:AD)^0)) &gt; 0, 0)),
      "")
)</f>
        <v>Empty Row</v>
      </c>
      <c r="D90" t="str">
        <f>IF(RawDataTable[[#This Row],[Account Name and Number]]&lt;&gt;"", RawDataTable[[#This Row],[Account Name and Number]], "Empty Row")</f>
        <v>Empty Row</v>
      </c>
      <c r="E90" s="28" t="str">
        <f>IF(D90="Empty Row", "Empty Row",
   _xlfn.LET(
       _xlpm.lookupResult, _xlfn.XLOOKUP(D90, RawDataTable[Account Name and Number], RawDataTable[Investment Date], "MISSING VALUE"),
       IF(ISNUMBER(_xlpm.lookupResult), _xlpm.lookupResult, "INVALID VALUE")
   )
)</f>
        <v>Empty Row</v>
      </c>
      <c r="F90" s="29" t="str">
        <f>IF(D90="Empty Row", "Empty Row",
   _xlfn.LET(
       _xlpm.lookupResult, _xlfn.XLOOKUP(D90, RawDataTable[Account Name and Number], RawDataTable[Investment Amount], "MISSING VALUE"),
       IF(ISNUMBER(_xlpm.lookupResult), _xlpm.lookupResult, "INVALID VALUE")
   )
)</f>
        <v>Empty Row</v>
      </c>
      <c r="G90" s="28" t="str">
        <f t="shared" ca="1" si="1"/>
        <v>Empty Row</v>
      </c>
      <c r="H90" s="29" t="str">
        <f>IF(D90="Empty Row", "Empty Row",
   _xlfn.LET(
       _xlpm.lookupResult, _xlfn.XLOOKUP(D90, RawDataTable[Account Name and Number], RawDataTable[Valuation Amount], "MISSING VALUE"),
       IF(ISNUMBER(_xlpm.lookupResult), _xlpm.lookupResult, "INVALID VALUE")
   )
)</f>
        <v>Empty Row</v>
      </c>
      <c r="I90" s="2" t="str">
        <f>IF(D90="Empty Row", "Empty Row", IF(_xlfn.XLOOKUP(B90, MasterTable[IRA Custodian], MasterTable[Address], "")="", "NO STREET NAME FOUND", _xlfn.XLOOKUP(B90, MasterTable[IRA Custodian], MasterTable[Address], "")))</f>
        <v>Empty Row</v>
      </c>
      <c r="J90" s="2" t="str">
        <f>IF(D90="Empty Row", "Empty Row",
   IF(OR(
       _xlfn.XLOOKUP(B90, MasterTable[IRA Custodian], MasterTable[City], "")="",
       _xlfn.XLOOKUP(B90, MasterTable[IRA Custodian], MasterTable[State], "")="",
       _xlfn.XLOOKUP(B90, MasterTable[IRA Custodian], MasterTable[Zip], "")=""),
       "INCOMPLETE ADDRESS",
       _xlfn.CONCAT(
           _xlfn.XLOOKUP(B90, MasterTable[IRA Custodian], MasterTable[City], ""), ", ",
           _xlfn.XLOOKUP(B90, MasterTable[IRA Custodian], MasterTable[State], ""), " ",
           _xlfn.XLOOKUP(B90, MasterTable[IRA Custodian], MasterTable[Zip], "")
       )
   )
)</f>
        <v>Empty Row</v>
      </c>
    </row>
    <row r="91" spans="1:10" x14ac:dyDescent="0.25">
      <c r="A91" t="str">
        <f>IF(D91="Empty Row", "Empty Row",
   _xlfn.LET(
       _xlpm.lookupResult, _xlfn.XLOOKUP(D91, RawDataTable[Account Name and Number], RawDataTable[Entity], "RAW DATA MISSING"),
       IF(ISBLANK(_xlpm.lookupResult), "RAW DATA MISSING", _xlpm.lookupResult)
   )
)</f>
        <v>Empty Row</v>
      </c>
      <c r="B91" t="str">
        <f>IF(D91="Empty Row", "Empty Row",
   _xlfn.LET(
       _xlpm.rawDataLookup, _xlfn.XLOOKUP(D91,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91" s="56" t="str" cm="1">
        <f t="array" ref="C91">IF(D91="Empty Row", "Empty Row",
   IF(COUNTIF('Name Mapping'!H:AD, D91) &gt; 0,
      INDEX('Name Mapping'!F:F, MATCH(TRUE, MMULT(--('Name Mapping'!H:AD=D91), TRANSPOSE(COLUMN('Name Mapping'!H:AD)^0)) &gt; 0, 0)),
      "")
)</f>
        <v>Empty Row</v>
      </c>
      <c r="D91" t="str">
        <f>IF(RawDataTable[[#This Row],[Account Name and Number]]&lt;&gt;"", RawDataTable[[#This Row],[Account Name and Number]], "Empty Row")</f>
        <v>Empty Row</v>
      </c>
      <c r="E91" s="28" t="str">
        <f>IF(D91="Empty Row", "Empty Row",
   _xlfn.LET(
       _xlpm.lookupResult, _xlfn.XLOOKUP(D91, RawDataTable[Account Name and Number], RawDataTable[Investment Date], "MISSING VALUE"),
       IF(ISNUMBER(_xlpm.lookupResult), _xlpm.lookupResult, "INVALID VALUE")
   )
)</f>
        <v>Empty Row</v>
      </c>
      <c r="F91" s="29" t="str">
        <f>IF(D91="Empty Row", "Empty Row",
   _xlfn.LET(
       _xlpm.lookupResult, _xlfn.XLOOKUP(D91, RawDataTable[Account Name and Number], RawDataTable[Investment Amount], "MISSING VALUE"),
       IF(ISNUMBER(_xlpm.lookupResult), _xlpm.lookupResult, "INVALID VALUE")
   )
)</f>
        <v>Empty Row</v>
      </c>
      <c r="G91" s="28" t="str">
        <f t="shared" ca="1" si="1"/>
        <v>Empty Row</v>
      </c>
      <c r="H91" s="29" t="str">
        <f>IF(D91="Empty Row", "Empty Row",
   _xlfn.LET(
       _xlpm.lookupResult, _xlfn.XLOOKUP(D91, RawDataTable[Account Name and Number], RawDataTable[Valuation Amount], "MISSING VALUE"),
       IF(ISNUMBER(_xlpm.lookupResult), _xlpm.lookupResult, "INVALID VALUE")
   )
)</f>
        <v>Empty Row</v>
      </c>
      <c r="I91" s="2" t="str">
        <f>IF(D91="Empty Row", "Empty Row", IF(_xlfn.XLOOKUP(B91, MasterTable[IRA Custodian], MasterTable[Address], "")="", "NO STREET NAME FOUND", _xlfn.XLOOKUP(B91, MasterTable[IRA Custodian], MasterTable[Address], "")))</f>
        <v>Empty Row</v>
      </c>
      <c r="J91" s="2" t="str">
        <f>IF(D91="Empty Row", "Empty Row",
   IF(OR(
       _xlfn.XLOOKUP(B91, MasterTable[IRA Custodian], MasterTable[City], "")="",
       _xlfn.XLOOKUP(B91, MasterTable[IRA Custodian], MasterTable[State], "")="",
       _xlfn.XLOOKUP(B91, MasterTable[IRA Custodian], MasterTable[Zip], "")=""),
       "INCOMPLETE ADDRESS",
       _xlfn.CONCAT(
           _xlfn.XLOOKUP(B91, MasterTable[IRA Custodian], MasterTable[City], ""), ", ",
           _xlfn.XLOOKUP(B91, MasterTable[IRA Custodian], MasterTable[State], ""), " ",
           _xlfn.XLOOKUP(B91, MasterTable[IRA Custodian], MasterTable[Zip], "")
       )
   )
)</f>
        <v>Empty Row</v>
      </c>
    </row>
    <row r="92" spans="1:10" x14ac:dyDescent="0.25">
      <c r="A92" t="str">
        <f>IF(D92="Empty Row", "Empty Row",
   _xlfn.LET(
       _xlpm.lookupResult, _xlfn.XLOOKUP(D92, RawDataTable[Account Name and Number], RawDataTable[Entity], "RAW DATA MISSING"),
       IF(ISBLANK(_xlpm.lookupResult), "RAW DATA MISSING", _xlpm.lookupResult)
   )
)</f>
        <v>Empty Row</v>
      </c>
      <c r="B92" t="str">
        <f>IF(D92="Empty Row", "Empty Row",
   _xlfn.LET(
       _xlpm.rawDataLookup, _xlfn.XLOOKUP(D92,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92" s="56" t="str" cm="1">
        <f t="array" ref="C92">IF(D92="Empty Row", "Empty Row",
   IF(COUNTIF('Name Mapping'!H:AD, D92) &gt; 0,
      INDEX('Name Mapping'!F:F, MATCH(TRUE, MMULT(--('Name Mapping'!H:AD=D92), TRANSPOSE(COLUMN('Name Mapping'!H:AD)^0)) &gt; 0, 0)),
      "")
)</f>
        <v>Empty Row</v>
      </c>
      <c r="D92" t="str">
        <f>IF(RawDataTable[[#This Row],[Account Name and Number]]&lt;&gt;"", RawDataTable[[#This Row],[Account Name and Number]], "Empty Row")</f>
        <v>Empty Row</v>
      </c>
      <c r="E92" s="28" t="str">
        <f>IF(D92="Empty Row", "Empty Row",
   _xlfn.LET(
       _xlpm.lookupResult, _xlfn.XLOOKUP(D92, RawDataTable[Account Name and Number], RawDataTable[Investment Date], "MISSING VALUE"),
       IF(ISNUMBER(_xlpm.lookupResult), _xlpm.lookupResult, "INVALID VALUE")
   )
)</f>
        <v>Empty Row</v>
      </c>
      <c r="F92" s="29" t="str">
        <f>IF(D92="Empty Row", "Empty Row",
   _xlfn.LET(
       _xlpm.lookupResult, _xlfn.XLOOKUP(D92, RawDataTable[Account Name and Number], RawDataTable[Investment Amount], "MISSING VALUE"),
       IF(ISNUMBER(_xlpm.lookupResult), _xlpm.lookupResult, "INVALID VALUE")
   )
)</f>
        <v>Empty Row</v>
      </c>
      <c r="G92" s="28" t="str">
        <f t="shared" ca="1" si="1"/>
        <v>Empty Row</v>
      </c>
      <c r="H92" s="29" t="str">
        <f>IF(D92="Empty Row", "Empty Row",
   _xlfn.LET(
       _xlpm.lookupResult, _xlfn.XLOOKUP(D92, RawDataTable[Account Name and Number], RawDataTable[Valuation Amount], "MISSING VALUE"),
       IF(ISNUMBER(_xlpm.lookupResult), _xlpm.lookupResult, "INVALID VALUE")
   )
)</f>
        <v>Empty Row</v>
      </c>
      <c r="I92" s="2" t="str">
        <f>IF(D92="Empty Row", "Empty Row", IF(_xlfn.XLOOKUP(B92, MasterTable[IRA Custodian], MasterTable[Address], "")="", "NO STREET NAME FOUND", _xlfn.XLOOKUP(B92, MasterTable[IRA Custodian], MasterTable[Address], "")))</f>
        <v>Empty Row</v>
      </c>
      <c r="J92" s="2" t="str">
        <f>IF(D92="Empty Row", "Empty Row",
   IF(OR(
       _xlfn.XLOOKUP(B92, MasterTable[IRA Custodian], MasterTable[City], "")="",
       _xlfn.XLOOKUP(B92, MasterTable[IRA Custodian], MasterTable[State], "")="",
       _xlfn.XLOOKUP(B92, MasterTable[IRA Custodian], MasterTable[Zip], "")=""),
       "INCOMPLETE ADDRESS",
       _xlfn.CONCAT(
           _xlfn.XLOOKUP(B92, MasterTable[IRA Custodian], MasterTable[City], ""), ", ",
           _xlfn.XLOOKUP(B92, MasterTable[IRA Custodian], MasterTable[State], ""), " ",
           _xlfn.XLOOKUP(B92, MasterTable[IRA Custodian], MasterTable[Zip], "")
       )
   )
)</f>
        <v>Empty Row</v>
      </c>
    </row>
    <row r="93" spans="1:10" x14ac:dyDescent="0.25">
      <c r="A93" t="str">
        <f>IF(D93="Empty Row", "Empty Row",
   _xlfn.LET(
       _xlpm.lookupResult, _xlfn.XLOOKUP(D93, RawDataTable[Account Name and Number], RawDataTable[Entity], "RAW DATA MISSING"),
       IF(ISBLANK(_xlpm.lookupResult), "RAW DATA MISSING", _xlpm.lookupResult)
   )
)</f>
        <v>Empty Row</v>
      </c>
      <c r="B93" t="str">
        <f>IF(D93="Empty Row", "Empty Row",
   _xlfn.LET(
       _xlpm.rawDataLookup, _xlfn.XLOOKUP(D93,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93" s="56" t="str" cm="1">
        <f t="array" ref="C93">IF(D93="Empty Row", "Empty Row",
   IF(COUNTIF('Name Mapping'!H:AD, D93) &gt; 0,
      INDEX('Name Mapping'!F:F, MATCH(TRUE, MMULT(--('Name Mapping'!H:AD=D93), TRANSPOSE(COLUMN('Name Mapping'!H:AD)^0)) &gt; 0, 0)),
      "")
)</f>
        <v>Empty Row</v>
      </c>
      <c r="D93" t="str">
        <f>IF(RawDataTable[[#This Row],[Account Name and Number]]&lt;&gt;"", RawDataTable[[#This Row],[Account Name and Number]], "Empty Row")</f>
        <v>Empty Row</v>
      </c>
      <c r="E93" s="28" t="str">
        <f>IF(D93="Empty Row", "Empty Row",
   _xlfn.LET(
       _xlpm.lookupResult, _xlfn.XLOOKUP(D93, RawDataTable[Account Name and Number], RawDataTable[Investment Date], "MISSING VALUE"),
       IF(ISNUMBER(_xlpm.lookupResult), _xlpm.lookupResult, "INVALID VALUE")
   )
)</f>
        <v>Empty Row</v>
      </c>
      <c r="F93" s="29" t="str">
        <f>IF(D93="Empty Row", "Empty Row",
   _xlfn.LET(
       _xlpm.lookupResult, _xlfn.XLOOKUP(D93, RawDataTable[Account Name and Number], RawDataTable[Investment Amount], "MISSING VALUE"),
       IF(ISNUMBER(_xlpm.lookupResult), _xlpm.lookupResult, "INVALID VALUE")
   )
)</f>
        <v>Empty Row</v>
      </c>
      <c r="G93" s="28" t="str">
        <f t="shared" ca="1" si="1"/>
        <v>Empty Row</v>
      </c>
      <c r="H93" s="29" t="str">
        <f>IF(D93="Empty Row", "Empty Row",
   _xlfn.LET(
       _xlpm.lookupResult, _xlfn.XLOOKUP(D93, RawDataTable[Account Name and Number], RawDataTable[Valuation Amount], "MISSING VALUE"),
       IF(ISNUMBER(_xlpm.lookupResult), _xlpm.lookupResult, "INVALID VALUE")
   )
)</f>
        <v>Empty Row</v>
      </c>
      <c r="I93" s="2" t="str">
        <f>IF(D93="Empty Row", "Empty Row", IF(_xlfn.XLOOKUP(B93, MasterTable[IRA Custodian], MasterTable[Address], "")="", "NO STREET NAME FOUND", _xlfn.XLOOKUP(B93, MasterTable[IRA Custodian], MasterTable[Address], "")))</f>
        <v>Empty Row</v>
      </c>
      <c r="J93" s="2" t="str">
        <f>IF(D93="Empty Row", "Empty Row",
   IF(OR(
       _xlfn.XLOOKUP(B93, MasterTable[IRA Custodian], MasterTable[City], "")="",
       _xlfn.XLOOKUP(B93, MasterTable[IRA Custodian], MasterTable[State], "")="",
       _xlfn.XLOOKUP(B93, MasterTable[IRA Custodian], MasterTable[Zip], "")=""),
       "INCOMPLETE ADDRESS",
       _xlfn.CONCAT(
           _xlfn.XLOOKUP(B93, MasterTable[IRA Custodian], MasterTable[City], ""), ", ",
           _xlfn.XLOOKUP(B93, MasterTable[IRA Custodian], MasterTable[State], ""), " ",
           _xlfn.XLOOKUP(B93, MasterTable[IRA Custodian], MasterTable[Zip], "")
       )
   )
)</f>
        <v>Empty Row</v>
      </c>
    </row>
    <row r="94" spans="1:10" x14ac:dyDescent="0.25">
      <c r="A94" t="str">
        <f>IF(D94="Empty Row", "Empty Row",
   _xlfn.LET(
       _xlpm.lookupResult, _xlfn.XLOOKUP(D94, RawDataTable[Account Name and Number], RawDataTable[Entity], "RAW DATA MISSING"),
       IF(ISBLANK(_xlpm.lookupResult), "RAW DATA MISSING", _xlpm.lookupResult)
   )
)</f>
        <v>Empty Row</v>
      </c>
      <c r="B94" t="str">
        <f>IF(D94="Empty Row", "Empty Row",
   _xlfn.LET(
       _xlpm.rawDataLookup, _xlfn.XLOOKUP(D94,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94" s="56" t="str" cm="1">
        <f t="array" ref="C94">IF(D94="Empty Row", "Empty Row",
   IF(COUNTIF('Name Mapping'!H:AD, D94) &gt; 0,
      INDEX('Name Mapping'!F:F, MATCH(TRUE, MMULT(--('Name Mapping'!H:AD=D94), TRANSPOSE(COLUMN('Name Mapping'!H:AD)^0)) &gt; 0, 0)),
      "")
)</f>
        <v>Empty Row</v>
      </c>
      <c r="D94" t="str">
        <f>IF(RawDataTable[[#This Row],[Account Name and Number]]&lt;&gt;"", RawDataTable[[#This Row],[Account Name and Number]], "Empty Row")</f>
        <v>Empty Row</v>
      </c>
      <c r="E94" s="28" t="str">
        <f>IF(D94="Empty Row", "Empty Row",
   _xlfn.LET(
       _xlpm.lookupResult, _xlfn.XLOOKUP(D94, RawDataTable[Account Name and Number], RawDataTable[Investment Date], "MISSING VALUE"),
       IF(ISNUMBER(_xlpm.lookupResult), _xlpm.lookupResult, "INVALID VALUE")
   )
)</f>
        <v>Empty Row</v>
      </c>
      <c r="F94" s="29" t="str">
        <f>IF(D94="Empty Row", "Empty Row",
   _xlfn.LET(
       _xlpm.lookupResult, _xlfn.XLOOKUP(D94, RawDataTable[Account Name and Number], RawDataTable[Investment Amount], "MISSING VALUE"),
       IF(ISNUMBER(_xlpm.lookupResult), _xlpm.lookupResult, "INVALID VALUE")
   )
)</f>
        <v>Empty Row</v>
      </c>
      <c r="G94" s="28" t="str">
        <f t="shared" ca="1" si="1"/>
        <v>Empty Row</v>
      </c>
      <c r="H94" s="29" t="str">
        <f>IF(D94="Empty Row", "Empty Row",
   _xlfn.LET(
       _xlpm.lookupResult, _xlfn.XLOOKUP(D94, RawDataTable[Account Name and Number], RawDataTable[Valuation Amount], "MISSING VALUE"),
       IF(ISNUMBER(_xlpm.lookupResult), _xlpm.lookupResult, "INVALID VALUE")
   )
)</f>
        <v>Empty Row</v>
      </c>
      <c r="I94" s="2" t="str">
        <f>IF(D94="Empty Row", "Empty Row", IF(_xlfn.XLOOKUP(B94, MasterTable[IRA Custodian], MasterTable[Address], "")="", "NO STREET NAME FOUND", _xlfn.XLOOKUP(B94, MasterTable[IRA Custodian], MasterTable[Address], "")))</f>
        <v>Empty Row</v>
      </c>
      <c r="J94" s="2" t="str">
        <f>IF(D94="Empty Row", "Empty Row",
   IF(OR(
       _xlfn.XLOOKUP(B94, MasterTable[IRA Custodian], MasterTable[City], "")="",
       _xlfn.XLOOKUP(B94, MasterTable[IRA Custodian], MasterTable[State], "")="",
       _xlfn.XLOOKUP(B94, MasterTable[IRA Custodian], MasterTable[Zip], "")=""),
       "INCOMPLETE ADDRESS",
       _xlfn.CONCAT(
           _xlfn.XLOOKUP(B94, MasterTable[IRA Custodian], MasterTable[City], ""), ", ",
           _xlfn.XLOOKUP(B94, MasterTable[IRA Custodian], MasterTable[State], ""), " ",
           _xlfn.XLOOKUP(B94, MasterTable[IRA Custodian], MasterTable[Zip], "")
       )
   )
)</f>
        <v>Empty Row</v>
      </c>
    </row>
    <row r="95" spans="1:10" x14ac:dyDescent="0.25">
      <c r="A95" t="str">
        <f>IF(D95="Empty Row", "Empty Row",
   _xlfn.LET(
       _xlpm.lookupResult, _xlfn.XLOOKUP(D95, RawDataTable[Account Name and Number], RawDataTable[Entity], "RAW DATA MISSING"),
       IF(ISBLANK(_xlpm.lookupResult), "RAW DATA MISSING", _xlpm.lookupResult)
   )
)</f>
        <v>Empty Row</v>
      </c>
      <c r="B95" t="str">
        <f>IF(D95="Empty Row", "Empty Row",
   _xlfn.LET(
       _xlpm.rawDataLookup, _xlfn.XLOOKUP(D95,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95" s="56" t="str" cm="1">
        <f t="array" ref="C95">IF(D95="Empty Row", "Empty Row",
   IF(COUNTIF('Name Mapping'!H:AD, D95) &gt; 0,
      INDEX('Name Mapping'!F:F, MATCH(TRUE, MMULT(--('Name Mapping'!H:AD=D95), TRANSPOSE(COLUMN('Name Mapping'!H:AD)^0)) &gt; 0, 0)),
      "")
)</f>
        <v>Empty Row</v>
      </c>
      <c r="D95" t="str">
        <f>IF(RawDataTable[[#This Row],[Account Name and Number]]&lt;&gt;"", RawDataTable[[#This Row],[Account Name and Number]], "Empty Row")</f>
        <v>Empty Row</v>
      </c>
      <c r="E95" s="28" t="str">
        <f>IF(D95="Empty Row", "Empty Row",
   _xlfn.LET(
       _xlpm.lookupResult, _xlfn.XLOOKUP(D95, RawDataTable[Account Name and Number], RawDataTable[Investment Date], "MISSING VALUE"),
       IF(ISNUMBER(_xlpm.lookupResult), _xlpm.lookupResult, "INVALID VALUE")
   )
)</f>
        <v>Empty Row</v>
      </c>
      <c r="F95" s="29" t="str">
        <f>IF(D95="Empty Row", "Empty Row",
   _xlfn.LET(
       _xlpm.lookupResult, _xlfn.XLOOKUP(D95, RawDataTable[Account Name and Number], RawDataTable[Investment Amount], "MISSING VALUE"),
       IF(ISNUMBER(_xlpm.lookupResult), _xlpm.lookupResult, "INVALID VALUE")
   )
)</f>
        <v>Empty Row</v>
      </c>
      <c r="G95" s="28" t="str">
        <f t="shared" ca="1" si="1"/>
        <v>Empty Row</v>
      </c>
      <c r="H95" s="29" t="str">
        <f>IF(D95="Empty Row", "Empty Row",
   _xlfn.LET(
       _xlpm.lookupResult, _xlfn.XLOOKUP(D95, RawDataTable[Account Name and Number], RawDataTable[Valuation Amount], "MISSING VALUE"),
       IF(ISNUMBER(_xlpm.lookupResult), _xlpm.lookupResult, "INVALID VALUE")
   )
)</f>
        <v>Empty Row</v>
      </c>
      <c r="I95" s="2" t="str">
        <f>IF(D95="Empty Row", "Empty Row", IF(_xlfn.XLOOKUP(B95, MasterTable[IRA Custodian], MasterTable[Address], "")="", "NO STREET NAME FOUND", _xlfn.XLOOKUP(B95, MasterTable[IRA Custodian], MasterTable[Address], "")))</f>
        <v>Empty Row</v>
      </c>
      <c r="J95" s="2" t="str">
        <f>IF(D95="Empty Row", "Empty Row",
   IF(OR(
       _xlfn.XLOOKUP(B95, MasterTable[IRA Custodian], MasterTable[City], "")="",
       _xlfn.XLOOKUP(B95, MasterTable[IRA Custodian], MasterTable[State], "")="",
       _xlfn.XLOOKUP(B95, MasterTable[IRA Custodian], MasterTable[Zip], "")=""),
       "INCOMPLETE ADDRESS",
       _xlfn.CONCAT(
           _xlfn.XLOOKUP(B95, MasterTable[IRA Custodian], MasterTable[City], ""), ", ",
           _xlfn.XLOOKUP(B95, MasterTable[IRA Custodian], MasterTable[State], ""), " ",
           _xlfn.XLOOKUP(B95, MasterTable[IRA Custodian], MasterTable[Zip], "")
       )
   )
)</f>
        <v>Empty Row</v>
      </c>
    </row>
    <row r="96" spans="1:10" x14ac:dyDescent="0.25">
      <c r="A96" t="str">
        <f>IF(D96="Empty Row", "Empty Row",
   _xlfn.LET(
       _xlpm.lookupResult, _xlfn.XLOOKUP(D96, RawDataTable[Account Name and Number], RawDataTable[Entity], "RAW DATA MISSING"),
       IF(ISBLANK(_xlpm.lookupResult), "RAW DATA MISSING", _xlpm.lookupResult)
   )
)</f>
        <v>Empty Row</v>
      </c>
      <c r="B96" t="str">
        <f>IF(D96="Empty Row", "Empty Row",
   _xlfn.LET(
       _xlpm.rawDataLookup, _xlfn.XLOOKUP(D96,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96" s="56" t="str" cm="1">
        <f t="array" ref="C96">IF(D96="Empty Row", "Empty Row",
   IF(COUNTIF('Name Mapping'!H:AD, D96) &gt; 0,
      INDEX('Name Mapping'!F:F, MATCH(TRUE, MMULT(--('Name Mapping'!H:AD=D96), TRANSPOSE(COLUMN('Name Mapping'!H:AD)^0)) &gt; 0, 0)),
      "")
)</f>
        <v>Empty Row</v>
      </c>
      <c r="D96" t="str">
        <f>IF(RawDataTable[[#This Row],[Account Name and Number]]&lt;&gt;"", RawDataTable[[#This Row],[Account Name and Number]], "Empty Row")</f>
        <v>Empty Row</v>
      </c>
      <c r="E96" s="28" t="str">
        <f>IF(D96="Empty Row", "Empty Row",
   _xlfn.LET(
       _xlpm.lookupResult, _xlfn.XLOOKUP(D96, RawDataTable[Account Name and Number], RawDataTable[Investment Date], "MISSING VALUE"),
       IF(ISNUMBER(_xlpm.lookupResult), _xlpm.lookupResult, "INVALID VALUE")
   )
)</f>
        <v>Empty Row</v>
      </c>
      <c r="F96" s="29" t="str">
        <f>IF(D96="Empty Row", "Empty Row",
   _xlfn.LET(
       _xlpm.lookupResult, _xlfn.XLOOKUP(D96, RawDataTable[Account Name and Number], RawDataTable[Investment Amount], "MISSING VALUE"),
       IF(ISNUMBER(_xlpm.lookupResult), _xlpm.lookupResult, "INVALID VALUE")
   )
)</f>
        <v>Empty Row</v>
      </c>
      <c r="G96" s="28" t="str">
        <f t="shared" ca="1" si="1"/>
        <v>Empty Row</v>
      </c>
      <c r="H96" s="29" t="str">
        <f>IF(D96="Empty Row", "Empty Row",
   _xlfn.LET(
       _xlpm.lookupResult, _xlfn.XLOOKUP(D96, RawDataTable[Account Name and Number], RawDataTable[Valuation Amount], "MISSING VALUE"),
       IF(ISNUMBER(_xlpm.lookupResult), _xlpm.lookupResult, "INVALID VALUE")
   )
)</f>
        <v>Empty Row</v>
      </c>
      <c r="I96" s="2" t="str">
        <f>IF(D96="Empty Row", "Empty Row", IF(_xlfn.XLOOKUP(B96, MasterTable[IRA Custodian], MasterTable[Address], "")="", "NO STREET NAME FOUND", _xlfn.XLOOKUP(B96, MasterTable[IRA Custodian], MasterTable[Address], "")))</f>
        <v>Empty Row</v>
      </c>
      <c r="J96" s="2" t="str">
        <f>IF(D96="Empty Row", "Empty Row",
   IF(OR(
       _xlfn.XLOOKUP(B96, MasterTable[IRA Custodian], MasterTable[City], "")="",
       _xlfn.XLOOKUP(B96, MasterTable[IRA Custodian], MasterTable[State], "")="",
       _xlfn.XLOOKUP(B96, MasterTable[IRA Custodian], MasterTable[Zip], "")=""),
       "INCOMPLETE ADDRESS",
       _xlfn.CONCAT(
           _xlfn.XLOOKUP(B96, MasterTable[IRA Custodian], MasterTable[City], ""), ", ",
           _xlfn.XLOOKUP(B96, MasterTable[IRA Custodian], MasterTable[State], ""), " ",
           _xlfn.XLOOKUP(B96, MasterTable[IRA Custodian], MasterTable[Zip], "")
       )
   )
)</f>
        <v>Empty Row</v>
      </c>
    </row>
    <row r="97" spans="1:10" x14ac:dyDescent="0.25">
      <c r="A97" t="str">
        <f>IF(D97="Empty Row", "Empty Row",
   _xlfn.LET(
       _xlpm.lookupResult, _xlfn.XLOOKUP(D97, RawDataTable[Account Name and Number], RawDataTable[Entity], "RAW DATA MISSING"),
       IF(ISBLANK(_xlpm.lookupResult), "RAW DATA MISSING", _xlpm.lookupResult)
   )
)</f>
        <v>Empty Row</v>
      </c>
      <c r="B97" t="str">
        <f>IF(D97="Empty Row", "Empty Row",
   _xlfn.LET(
       _xlpm.rawDataLookup, _xlfn.XLOOKUP(D97,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97" s="56" t="str" cm="1">
        <f t="array" ref="C97">IF(D97="Empty Row", "Empty Row",
   IF(COUNTIF('Name Mapping'!H:AD, D97) &gt; 0,
      INDEX('Name Mapping'!F:F, MATCH(TRUE, MMULT(--('Name Mapping'!H:AD=D97), TRANSPOSE(COLUMN('Name Mapping'!H:AD)^0)) &gt; 0, 0)),
      "")
)</f>
        <v>Empty Row</v>
      </c>
      <c r="D97" t="str">
        <f>IF(RawDataTable[[#This Row],[Account Name and Number]]&lt;&gt;"", RawDataTable[[#This Row],[Account Name and Number]], "Empty Row")</f>
        <v>Empty Row</v>
      </c>
      <c r="E97" s="28" t="str">
        <f>IF(D97="Empty Row", "Empty Row",
   _xlfn.LET(
       _xlpm.lookupResult, _xlfn.XLOOKUP(D97, RawDataTable[Account Name and Number], RawDataTable[Investment Date], "MISSING VALUE"),
       IF(ISNUMBER(_xlpm.lookupResult), _xlpm.lookupResult, "INVALID VALUE")
   )
)</f>
        <v>Empty Row</v>
      </c>
      <c r="F97" s="29" t="str">
        <f>IF(D97="Empty Row", "Empty Row",
   _xlfn.LET(
       _xlpm.lookupResult, _xlfn.XLOOKUP(D97, RawDataTable[Account Name and Number], RawDataTable[Investment Amount], "MISSING VALUE"),
       IF(ISNUMBER(_xlpm.lookupResult), _xlpm.lookupResult, "INVALID VALUE")
   )
)</f>
        <v>Empty Row</v>
      </c>
      <c r="G97" s="28" t="str">
        <f t="shared" ca="1" si="1"/>
        <v>Empty Row</v>
      </c>
      <c r="H97" s="29" t="str">
        <f>IF(D97="Empty Row", "Empty Row",
   _xlfn.LET(
       _xlpm.lookupResult, _xlfn.XLOOKUP(D97, RawDataTable[Account Name and Number], RawDataTable[Valuation Amount], "MISSING VALUE"),
       IF(ISNUMBER(_xlpm.lookupResult), _xlpm.lookupResult, "INVALID VALUE")
   )
)</f>
        <v>Empty Row</v>
      </c>
      <c r="I97" s="2" t="str">
        <f>IF(D97="Empty Row", "Empty Row", IF(_xlfn.XLOOKUP(B97, MasterTable[IRA Custodian], MasterTable[Address], "")="", "NO STREET NAME FOUND", _xlfn.XLOOKUP(B97, MasterTable[IRA Custodian], MasterTable[Address], "")))</f>
        <v>Empty Row</v>
      </c>
      <c r="J97" s="2" t="str">
        <f>IF(D97="Empty Row", "Empty Row",
   IF(OR(
       _xlfn.XLOOKUP(B97, MasterTable[IRA Custodian], MasterTable[City], "")="",
       _xlfn.XLOOKUP(B97, MasterTable[IRA Custodian], MasterTable[State], "")="",
       _xlfn.XLOOKUP(B97, MasterTable[IRA Custodian], MasterTable[Zip], "")=""),
       "INCOMPLETE ADDRESS",
       _xlfn.CONCAT(
           _xlfn.XLOOKUP(B97, MasterTable[IRA Custodian], MasterTable[City], ""), ", ",
           _xlfn.XLOOKUP(B97, MasterTable[IRA Custodian], MasterTable[State], ""), " ",
           _xlfn.XLOOKUP(B97, MasterTable[IRA Custodian], MasterTable[Zip], "")
       )
   )
)</f>
        <v>Empty Row</v>
      </c>
    </row>
    <row r="98" spans="1:10" x14ac:dyDescent="0.25">
      <c r="A98" t="str">
        <f>IF(D98="Empty Row", "Empty Row",
   _xlfn.LET(
       _xlpm.lookupResult, _xlfn.XLOOKUP(D98, RawDataTable[Account Name and Number], RawDataTable[Entity], "RAW DATA MISSING"),
       IF(ISBLANK(_xlpm.lookupResult), "RAW DATA MISSING", _xlpm.lookupResult)
   )
)</f>
        <v>Empty Row</v>
      </c>
      <c r="B98" t="str">
        <f>IF(D98="Empty Row", "Empty Row",
   _xlfn.LET(
       _xlpm.rawDataLookup, _xlfn.XLOOKUP(D98,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98" s="56" t="str" cm="1">
        <f t="array" ref="C98">IF(D98="Empty Row", "Empty Row",
   IF(COUNTIF('Name Mapping'!H:AD, D98) &gt; 0,
      INDEX('Name Mapping'!F:F, MATCH(TRUE, MMULT(--('Name Mapping'!H:AD=D98), TRANSPOSE(COLUMN('Name Mapping'!H:AD)^0)) &gt; 0, 0)),
      "")
)</f>
        <v>Empty Row</v>
      </c>
      <c r="D98" t="str">
        <f>IF(RawDataTable[[#This Row],[Account Name and Number]]&lt;&gt;"", RawDataTable[[#This Row],[Account Name and Number]], "Empty Row")</f>
        <v>Empty Row</v>
      </c>
      <c r="E98" s="28" t="str">
        <f>IF(D98="Empty Row", "Empty Row",
   _xlfn.LET(
       _xlpm.lookupResult, _xlfn.XLOOKUP(D98, RawDataTable[Account Name and Number], RawDataTable[Investment Date], "MISSING VALUE"),
       IF(ISNUMBER(_xlpm.lookupResult), _xlpm.lookupResult, "INVALID VALUE")
   )
)</f>
        <v>Empty Row</v>
      </c>
      <c r="F98" s="29" t="str">
        <f>IF(D98="Empty Row", "Empty Row",
   _xlfn.LET(
       _xlpm.lookupResult, _xlfn.XLOOKUP(D98, RawDataTable[Account Name and Number], RawDataTable[Investment Amount], "MISSING VALUE"),
       IF(ISNUMBER(_xlpm.lookupResult), _xlpm.lookupResult, "INVALID VALUE")
   )
)</f>
        <v>Empty Row</v>
      </c>
      <c r="G98" s="28" t="str">
        <f t="shared" ca="1" si="1"/>
        <v>Empty Row</v>
      </c>
      <c r="H98" s="29" t="str">
        <f>IF(D98="Empty Row", "Empty Row",
   _xlfn.LET(
       _xlpm.lookupResult, _xlfn.XLOOKUP(D98, RawDataTable[Account Name and Number], RawDataTable[Valuation Amount], "MISSING VALUE"),
       IF(ISNUMBER(_xlpm.lookupResult), _xlpm.lookupResult, "INVALID VALUE")
   )
)</f>
        <v>Empty Row</v>
      </c>
      <c r="I98" s="2" t="str">
        <f>IF(D98="Empty Row", "Empty Row", IF(_xlfn.XLOOKUP(B98, MasterTable[IRA Custodian], MasterTable[Address], "")="", "NO STREET NAME FOUND", _xlfn.XLOOKUP(B98, MasterTable[IRA Custodian], MasterTable[Address], "")))</f>
        <v>Empty Row</v>
      </c>
      <c r="J98" s="2" t="str">
        <f>IF(D98="Empty Row", "Empty Row",
   IF(OR(
       _xlfn.XLOOKUP(B98, MasterTable[IRA Custodian], MasterTable[City], "")="",
       _xlfn.XLOOKUP(B98, MasterTable[IRA Custodian], MasterTable[State], "")="",
       _xlfn.XLOOKUP(B98, MasterTable[IRA Custodian], MasterTable[Zip], "")=""),
       "INCOMPLETE ADDRESS",
       _xlfn.CONCAT(
           _xlfn.XLOOKUP(B98, MasterTable[IRA Custodian], MasterTable[City], ""), ", ",
           _xlfn.XLOOKUP(B98, MasterTable[IRA Custodian], MasterTable[State], ""), " ",
           _xlfn.XLOOKUP(B98, MasterTable[IRA Custodian], MasterTable[Zip], "")
       )
   )
)</f>
        <v>Empty Row</v>
      </c>
    </row>
    <row r="99" spans="1:10" x14ac:dyDescent="0.25">
      <c r="A99" t="str">
        <f>IF(D99="Empty Row", "Empty Row",
   _xlfn.LET(
       _xlpm.lookupResult, _xlfn.XLOOKUP(D99, RawDataTable[Account Name and Number], RawDataTable[Entity], "RAW DATA MISSING"),
       IF(ISBLANK(_xlpm.lookupResult), "RAW DATA MISSING", _xlpm.lookupResult)
   )
)</f>
        <v>Empty Row</v>
      </c>
      <c r="B99" t="str">
        <f>IF(D99="Empty Row", "Empty Row",
   _xlfn.LET(
       _xlpm.rawDataLookup, _xlfn.XLOOKUP(D99,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99" s="56" t="str" cm="1">
        <f t="array" ref="C99">IF(D99="Empty Row", "Empty Row",
   IF(COUNTIF('Name Mapping'!H:AD, D99) &gt; 0,
      INDEX('Name Mapping'!F:F, MATCH(TRUE, MMULT(--('Name Mapping'!H:AD=D99), TRANSPOSE(COLUMN('Name Mapping'!H:AD)^0)) &gt; 0, 0)),
      "")
)</f>
        <v>Empty Row</v>
      </c>
      <c r="D99" t="str">
        <f>IF(RawDataTable[[#This Row],[Account Name and Number]]&lt;&gt;"", RawDataTable[[#This Row],[Account Name and Number]], "Empty Row")</f>
        <v>Empty Row</v>
      </c>
      <c r="E99" s="28" t="str">
        <f>IF(D99="Empty Row", "Empty Row",
   _xlfn.LET(
       _xlpm.lookupResult, _xlfn.XLOOKUP(D99, RawDataTable[Account Name and Number], RawDataTable[Investment Date], "MISSING VALUE"),
       IF(ISNUMBER(_xlpm.lookupResult), _xlpm.lookupResult, "INVALID VALUE")
   )
)</f>
        <v>Empty Row</v>
      </c>
      <c r="F99" s="29" t="str">
        <f>IF(D99="Empty Row", "Empty Row",
   _xlfn.LET(
       _xlpm.lookupResult, _xlfn.XLOOKUP(D99, RawDataTable[Account Name and Number], RawDataTable[Investment Amount], "MISSING VALUE"),
       IF(ISNUMBER(_xlpm.lookupResult), _xlpm.lookupResult, "INVALID VALUE")
   )
)</f>
        <v>Empty Row</v>
      </c>
      <c r="G99" s="28" t="str">
        <f t="shared" ca="1" si="1"/>
        <v>Empty Row</v>
      </c>
      <c r="H99" s="29" t="str">
        <f>IF(D99="Empty Row", "Empty Row",
   _xlfn.LET(
       _xlpm.lookupResult, _xlfn.XLOOKUP(D99, RawDataTable[Account Name and Number], RawDataTable[Valuation Amount], "MISSING VALUE"),
       IF(ISNUMBER(_xlpm.lookupResult), _xlpm.lookupResult, "INVALID VALUE")
   )
)</f>
        <v>Empty Row</v>
      </c>
      <c r="I99" s="2" t="str">
        <f>IF(D99="Empty Row", "Empty Row", IF(_xlfn.XLOOKUP(B99, MasterTable[IRA Custodian], MasterTable[Address], "")="", "NO STREET NAME FOUND", _xlfn.XLOOKUP(B99, MasterTable[IRA Custodian], MasterTable[Address], "")))</f>
        <v>Empty Row</v>
      </c>
      <c r="J99" s="2" t="str">
        <f>IF(D99="Empty Row", "Empty Row",
   IF(OR(
       _xlfn.XLOOKUP(B99, MasterTable[IRA Custodian], MasterTable[City], "")="",
       _xlfn.XLOOKUP(B99, MasterTable[IRA Custodian], MasterTable[State], "")="",
       _xlfn.XLOOKUP(B99, MasterTable[IRA Custodian], MasterTable[Zip], "")=""),
       "INCOMPLETE ADDRESS",
       _xlfn.CONCAT(
           _xlfn.XLOOKUP(B99, MasterTable[IRA Custodian], MasterTable[City], ""), ", ",
           _xlfn.XLOOKUP(B99, MasterTable[IRA Custodian], MasterTable[State], ""), " ",
           _xlfn.XLOOKUP(B99, MasterTable[IRA Custodian], MasterTable[Zip], "")
       )
   )
)</f>
        <v>Empty Row</v>
      </c>
    </row>
    <row r="100" spans="1:10" x14ac:dyDescent="0.25">
      <c r="A100" t="str">
        <f>IF(D100="Empty Row", "Empty Row",
   _xlfn.LET(
       _xlpm.lookupResult, _xlfn.XLOOKUP(D100, RawDataTable[Account Name and Number], RawDataTable[Entity], "RAW DATA MISSING"),
       IF(ISBLANK(_xlpm.lookupResult), "RAW DATA MISSING", _xlpm.lookupResult)
   )
)</f>
        <v>Empty Row</v>
      </c>
      <c r="B100" t="str">
        <f>IF(D100="Empty Row", "Empty Row",
   _xlfn.LET(
       _xlpm.rawDataLookup, _xlfn.XLOOKUP(D100,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00" s="56" t="str" cm="1">
        <f t="array" ref="C100">IF(D100="Empty Row", "Empty Row",
   IF(COUNTIF('Name Mapping'!H:AD, D100) &gt; 0,
      INDEX('Name Mapping'!F:F, MATCH(TRUE, MMULT(--('Name Mapping'!H:AD=D100), TRANSPOSE(COLUMN('Name Mapping'!H:AD)^0)) &gt; 0, 0)),
      "")
)</f>
        <v>Empty Row</v>
      </c>
      <c r="D100" t="str">
        <f>IF(RawDataTable[[#This Row],[Account Name and Number]]&lt;&gt;"", RawDataTable[[#This Row],[Account Name and Number]], "Empty Row")</f>
        <v>Empty Row</v>
      </c>
      <c r="E100" s="28" t="str">
        <f>IF(D100="Empty Row", "Empty Row",
   _xlfn.LET(
       _xlpm.lookupResult, _xlfn.XLOOKUP(D100, RawDataTable[Account Name and Number], RawDataTable[Investment Date], "MISSING VALUE"),
       IF(ISNUMBER(_xlpm.lookupResult), _xlpm.lookupResult, "INVALID VALUE")
   )
)</f>
        <v>Empty Row</v>
      </c>
      <c r="F100" s="29" t="str">
        <f>IF(D100="Empty Row", "Empty Row",
   _xlfn.LET(
       _xlpm.lookupResult, _xlfn.XLOOKUP(D100, RawDataTable[Account Name and Number], RawDataTable[Investment Amount], "MISSING VALUE"),
       IF(ISNUMBER(_xlpm.lookupResult), _xlpm.lookupResult, "INVALID VALUE")
   )
)</f>
        <v>Empty Row</v>
      </c>
      <c r="G100" s="28" t="str">
        <f t="shared" ca="1" si="1"/>
        <v>Empty Row</v>
      </c>
      <c r="H100" s="29" t="str">
        <f>IF(D100="Empty Row", "Empty Row",
   _xlfn.LET(
       _xlpm.lookupResult, _xlfn.XLOOKUP(D100, RawDataTable[Account Name and Number], RawDataTable[Valuation Amount], "MISSING VALUE"),
       IF(ISNUMBER(_xlpm.lookupResult), _xlpm.lookupResult, "INVALID VALUE")
   )
)</f>
        <v>Empty Row</v>
      </c>
      <c r="I100" s="2" t="str">
        <f>IF(D100="Empty Row", "Empty Row", IF(_xlfn.XLOOKUP(B100, MasterTable[IRA Custodian], MasterTable[Address], "")="", "NO STREET NAME FOUND", _xlfn.XLOOKUP(B100, MasterTable[IRA Custodian], MasterTable[Address], "")))</f>
        <v>Empty Row</v>
      </c>
      <c r="J100" s="2" t="str">
        <f>IF(D100="Empty Row", "Empty Row",
   IF(OR(
       _xlfn.XLOOKUP(B100, MasterTable[IRA Custodian], MasterTable[City], "")="",
       _xlfn.XLOOKUP(B100, MasterTable[IRA Custodian], MasterTable[State], "")="",
       _xlfn.XLOOKUP(B100, MasterTable[IRA Custodian], MasterTable[Zip], "")=""),
       "INCOMPLETE ADDRESS",
       _xlfn.CONCAT(
           _xlfn.XLOOKUP(B100, MasterTable[IRA Custodian], MasterTable[City], ""), ", ",
           _xlfn.XLOOKUP(B100, MasterTable[IRA Custodian], MasterTable[State], ""), " ",
           _xlfn.XLOOKUP(B100, MasterTable[IRA Custodian], MasterTable[Zip], "")
       )
   )
)</f>
        <v>Empty Row</v>
      </c>
    </row>
    <row r="101" spans="1:10" x14ac:dyDescent="0.25">
      <c r="A101" t="str">
        <f>IF(D101="Empty Row", "Empty Row",
   _xlfn.LET(
       _xlpm.lookupResult, _xlfn.XLOOKUP(D101, RawDataTable[Account Name and Number], RawDataTable[Entity], "RAW DATA MISSING"),
       IF(ISBLANK(_xlpm.lookupResult), "RAW DATA MISSING", _xlpm.lookupResult)
   )
)</f>
        <v>Empty Row</v>
      </c>
      <c r="B101" t="str">
        <f>IF(D101="Empty Row", "Empty Row",
   _xlfn.LET(
       _xlpm.rawDataLookup, _xlfn.XLOOKUP(D101,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01" s="56" t="str" cm="1">
        <f t="array" ref="C101">IF(D101="Empty Row", "Empty Row",
   IF(COUNTIF('Name Mapping'!H:AD, D101) &gt; 0,
      INDEX('Name Mapping'!F:F, MATCH(TRUE, MMULT(--('Name Mapping'!H:AD=D101), TRANSPOSE(COLUMN('Name Mapping'!H:AD)^0)) &gt; 0, 0)),
      "")
)</f>
        <v>Empty Row</v>
      </c>
      <c r="D101" t="str">
        <f>IF(RawDataTable[[#This Row],[Account Name and Number]]&lt;&gt;"", RawDataTable[[#This Row],[Account Name and Number]], "Empty Row")</f>
        <v>Empty Row</v>
      </c>
      <c r="E101" s="28" t="str">
        <f>IF(D101="Empty Row", "Empty Row",
   _xlfn.LET(
       _xlpm.lookupResult, _xlfn.XLOOKUP(D101, RawDataTable[Account Name and Number], RawDataTable[Investment Date], "MISSING VALUE"),
       IF(ISNUMBER(_xlpm.lookupResult), _xlpm.lookupResult, "INVALID VALUE")
   )
)</f>
        <v>Empty Row</v>
      </c>
      <c r="F101" s="29" t="str">
        <f>IF(D101="Empty Row", "Empty Row",
   _xlfn.LET(
       _xlpm.lookupResult, _xlfn.XLOOKUP(D101, RawDataTable[Account Name and Number], RawDataTable[Investment Amount], "MISSING VALUE"),
       IF(ISNUMBER(_xlpm.lookupResult), _xlpm.lookupResult, "INVALID VALUE")
   )
)</f>
        <v>Empty Row</v>
      </c>
      <c r="G101" s="28" t="str">
        <f t="shared" ca="1" si="1"/>
        <v>Empty Row</v>
      </c>
      <c r="H101" s="29" t="str">
        <f>IF(D101="Empty Row", "Empty Row",
   _xlfn.LET(
       _xlpm.lookupResult, _xlfn.XLOOKUP(D101, RawDataTable[Account Name and Number], RawDataTable[Valuation Amount], "MISSING VALUE"),
       IF(ISNUMBER(_xlpm.lookupResult), _xlpm.lookupResult, "INVALID VALUE")
   )
)</f>
        <v>Empty Row</v>
      </c>
      <c r="I101" s="2" t="str">
        <f>IF(D101="Empty Row", "Empty Row", IF(_xlfn.XLOOKUP(B101, MasterTable[IRA Custodian], MasterTable[Address], "")="", "NO STREET NAME FOUND", _xlfn.XLOOKUP(B101, MasterTable[IRA Custodian], MasterTable[Address], "")))</f>
        <v>Empty Row</v>
      </c>
      <c r="J101" s="2" t="str">
        <f>IF(D101="Empty Row", "Empty Row",
   IF(OR(
       _xlfn.XLOOKUP(B101, MasterTable[IRA Custodian], MasterTable[City], "")="",
       _xlfn.XLOOKUP(B101, MasterTable[IRA Custodian], MasterTable[State], "")="",
       _xlfn.XLOOKUP(B101, MasterTable[IRA Custodian], MasterTable[Zip], "")=""),
       "INCOMPLETE ADDRESS",
       _xlfn.CONCAT(
           _xlfn.XLOOKUP(B101, MasterTable[IRA Custodian], MasterTable[City], ""), ", ",
           _xlfn.XLOOKUP(B101, MasterTable[IRA Custodian], MasterTable[State], ""), " ",
           _xlfn.XLOOKUP(B101, MasterTable[IRA Custodian], MasterTable[Zip], "")
       )
   )
)</f>
        <v>Empty Row</v>
      </c>
    </row>
    <row r="102" spans="1:10" x14ac:dyDescent="0.25">
      <c r="A102" t="str">
        <f>IF(D102="Empty Row", "Empty Row",
   _xlfn.LET(
       _xlpm.lookupResult, _xlfn.XLOOKUP(D102, RawDataTable[Account Name and Number], RawDataTable[Entity], "RAW DATA MISSING"),
       IF(ISBLANK(_xlpm.lookupResult), "RAW DATA MISSING", _xlpm.lookupResult)
   )
)</f>
        <v>Empty Row</v>
      </c>
      <c r="B102" t="str">
        <f>IF(D102="Empty Row", "Empty Row",
   _xlfn.LET(
       _xlpm.rawDataLookup, _xlfn.XLOOKUP(D102,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02" s="56" t="str" cm="1">
        <f t="array" ref="C102">IF(D102="Empty Row", "Empty Row",
   IF(COUNTIF('Name Mapping'!H:AD, D102) &gt; 0,
      INDEX('Name Mapping'!F:F, MATCH(TRUE, MMULT(--('Name Mapping'!H:AD=D102), TRANSPOSE(COLUMN('Name Mapping'!H:AD)^0)) &gt; 0, 0)),
      "")
)</f>
        <v>Empty Row</v>
      </c>
      <c r="D102" t="str">
        <f>IF(RawDataTable[[#This Row],[Account Name and Number]]&lt;&gt;"", RawDataTable[[#This Row],[Account Name and Number]], "Empty Row")</f>
        <v>Empty Row</v>
      </c>
      <c r="E102" s="28" t="str">
        <f>IF(D102="Empty Row", "Empty Row",
   _xlfn.LET(
       _xlpm.lookupResult, _xlfn.XLOOKUP(D102, RawDataTable[Account Name and Number], RawDataTable[Investment Date], "MISSING VALUE"),
       IF(ISNUMBER(_xlpm.lookupResult), _xlpm.lookupResult, "INVALID VALUE")
   )
)</f>
        <v>Empty Row</v>
      </c>
      <c r="F102" s="29" t="str">
        <f>IF(D102="Empty Row", "Empty Row",
   _xlfn.LET(
       _xlpm.lookupResult, _xlfn.XLOOKUP(D102, RawDataTable[Account Name and Number], RawDataTable[Investment Amount], "MISSING VALUE"),
       IF(ISNUMBER(_xlpm.lookupResult), _xlpm.lookupResult, "INVALID VALUE")
   )
)</f>
        <v>Empty Row</v>
      </c>
      <c r="G102" s="28" t="str">
        <f t="shared" ca="1" si="1"/>
        <v>Empty Row</v>
      </c>
      <c r="H102" s="29" t="str">
        <f>IF(D102="Empty Row", "Empty Row",
   _xlfn.LET(
       _xlpm.lookupResult, _xlfn.XLOOKUP(D102, RawDataTable[Account Name and Number], RawDataTable[Valuation Amount], "MISSING VALUE"),
       IF(ISNUMBER(_xlpm.lookupResult), _xlpm.lookupResult, "INVALID VALUE")
   )
)</f>
        <v>Empty Row</v>
      </c>
      <c r="I102" s="2" t="str">
        <f>IF(D102="Empty Row", "Empty Row", IF(_xlfn.XLOOKUP(B102, MasterTable[IRA Custodian], MasterTable[Address], "")="", "NO STREET NAME FOUND", _xlfn.XLOOKUP(B102, MasterTable[IRA Custodian], MasterTable[Address], "")))</f>
        <v>Empty Row</v>
      </c>
      <c r="J102" s="2" t="str">
        <f>IF(D102="Empty Row", "Empty Row",
   IF(OR(
       _xlfn.XLOOKUP(B102, MasterTable[IRA Custodian], MasterTable[City], "")="",
       _xlfn.XLOOKUP(B102, MasterTable[IRA Custodian], MasterTable[State], "")="",
       _xlfn.XLOOKUP(B102, MasterTable[IRA Custodian], MasterTable[Zip], "")=""),
       "INCOMPLETE ADDRESS",
       _xlfn.CONCAT(
           _xlfn.XLOOKUP(B102, MasterTable[IRA Custodian], MasterTable[City], ""), ", ",
           _xlfn.XLOOKUP(B102, MasterTable[IRA Custodian], MasterTable[State], ""), " ",
           _xlfn.XLOOKUP(B102, MasterTable[IRA Custodian], MasterTable[Zip], "")
       )
   )
)</f>
        <v>Empty Row</v>
      </c>
    </row>
    <row r="103" spans="1:10" x14ac:dyDescent="0.25">
      <c r="A103" t="str">
        <f>IF(D103="Empty Row", "Empty Row",
   _xlfn.LET(
       _xlpm.lookupResult, _xlfn.XLOOKUP(D103, RawDataTable[Account Name and Number], RawDataTable[Entity], "RAW DATA MISSING"),
       IF(ISBLANK(_xlpm.lookupResult), "RAW DATA MISSING", _xlpm.lookupResult)
   )
)</f>
        <v>Empty Row</v>
      </c>
      <c r="B103" t="str">
        <f>IF(D103="Empty Row", "Empty Row",
   _xlfn.LET(
       _xlpm.rawDataLookup, _xlfn.XLOOKUP(D103,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03" s="56" t="str" cm="1">
        <f t="array" ref="C103">IF(D103="Empty Row", "Empty Row",
   IF(COUNTIF('Name Mapping'!H:AD, D103) &gt; 0,
      INDEX('Name Mapping'!F:F, MATCH(TRUE, MMULT(--('Name Mapping'!H:AD=D103), TRANSPOSE(COLUMN('Name Mapping'!H:AD)^0)) &gt; 0, 0)),
      "")
)</f>
        <v>Empty Row</v>
      </c>
      <c r="D103" t="str">
        <f>IF(RawDataTable[[#This Row],[Account Name and Number]]&lt;&gt;"", RawDataTable[[#This Row],[Account Name and Number]], "Empty Row")</f>
        <v>Empty Row</v>
      </c>
      <c r="E103" s="28" t="str">
        <f>IF(D103="Empty Row", "Empty Row",
   _xlfn.LET(
       _xlpm.lookupResult, _xlfn.XLOOKUP(D103, RawDataTable[Account Name and Number], RawDataTable[Investment Date], "MISSING VALUE"),
       IF(ISNUMBER(_xlpm.lookupResult), _xlpm.lookupResult, "INVALID VALUE")
   )
)</f>
        <v>Empty Row</v>
      </c>
      <c r="F103" s="29" t="str">
        <f>IF(D103="Empty Row", "Empty Row",
   _xlfn.LET(
       _xlpm.lookupResult, _xlfn.XLOOKUP(D103, RawDataTable[Account Name and Number], RawDataTable[Investment Amount], "MISSING VALUE"),
       IF(ISNUMBER(_xlpm.lookupResult), _xlpm.lookupResult, "INVALID VALUE")
   )
)</f>
        <v>Empty Row</v>
      </c>
      <c r="G103" s="28" t="str">
        <f t="shared" ca="1" si="1"/>
        <v>Empty Row</v>
      </c>
      <c r="H103" s="29" t="str">
        <f>IF(D103="Empty Row", "Empty Row",
   _xlfn.LET(
       _xlpm.lookupResult, _xlfn.XLOOKUP(D103, RawDataTable[Account Name and Number], RawDataTable[Valuation Amount], "MISSING VALUE"),
       IF(ISNUMBER(_xlpm.lookupResult), _xlpm.lookupResult, "INVALID VALUE")
   )
)</f>
        <v>Empty Row</v>
      </c>
      <c r="I103" s="2" t="str">
        <f>IF(D103="Empty Row", "Empty Row", IF(_xlfn.XLOOKUP(B103, MasterTable[IRA Custodian], MasterTable[Address], "")="", "NO STREET NAME FOUND", _xlfn.XLOOKUP(B103, MasterTable[IRA Custodian], MasterTable[Address], "")))</f>
        <v>Empty Row</v>
      </c>
      <c r="J103" s="2" t="str">
        <f>IF(D103="Empty Row", "Empty Row",
   IF(OR(
       _xlfn.XLOOKUP(B103, MasterTable[IRA Custodian], MasterTable[City], "")="",
       _xlfn.XLOOKUP(B103, MasterTable[IRA Custodian], MasterTable[State], "")="",
       _xlfn.XLOOKUP(B103, MasterTable[IRA Custodian], MasterTable[Zip], "")=""),
       "INCOMPLETE ADDRESS",
       _xlfn.CONCAT(
           _xlfn.XLOOKUP(B103, MasterTable[IRA Custodian], MasterTable[City], ""), ", ",
           _xlfn.XLOOKUP(B103, MasterTable[IRA Custodian], MasterTable[State], ""), " ",
           _xlfn.XLOOKUP(B103, MasterTable[IRA Custodian], MasterTable[Zip], "")
       )
   )
)</f>
        <v>Empty Row</v>
      </c>
    </row>
    <row r="104" spans="1:10" x14ac:dyDescent="0.25">
      <c r="A104" t="str">
        <f>IF(D104="Empty Row", "Empty Row",
   _xlfn.LET(
       _xlpm.lookupResult, _xlfn.XLOOKUP(D104, RawDataTable[Account Name and Number], RawDataTable[Entity], "RAW DATA MISSING"),
       IF(ISBLANK(_xlpm.lookupResult), "RAW DATA MISSING", _xlpm.lookupResult)
   )
)</f>
        <v>Empty Row</v>
      </c>
      <c r="B104" t="str">
        <f>IF(D104="Empty Row", "Empty Row",
   _xlfn.LET(
       _xlpm.rawDataLookup, _xlfn.XLOOKUP(D104,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04" s="56" t="str" cm="1">
        <f t="array" ref="C104">IF(D104="Empty Row", "Empty Row",
   IF(COUNTIF('Name Mapping'!H:AD, D104) &gt; 0,
      INDEX('Name Mapping'!F:F, MATCH(TRUE, MMULT(--('Name Mapping'!H:AD=D104), TRANSPOSE(COLUMN('Name Mapping'!H:AD)^0)) &gt; 0, 0)),
      "")
)</f>
        <v>Empty Row</v>
      </c>
      <c r="D104" t="str">
        <f>IF(RawDataTable[[#This Row],[Account Name and Number]]&lt;&gt;"", RawDataTable[[#This Row],[Account Name and Number]], "Empty Row")</f>
        <v>Empty Row</v>
      </c>
      <c r="E104" s="28" t="str">
        <f>IF(D104="Empty Row", "Empty Row",
   _xlfn.LET(
       _xlpm.lookupResult, _xlfn.XLOOKUP(D104, RawDataTable[Account Name and Number], RawDataTable[Investment Date], "MISSING VALUE"),
       IF(ISNUMBER(_xlpm.lookupResult), _xlpm.lookupResult, "INVALID VALUE")
   )
)</f>
        <v>Empty Row</v>
      </c>
      <c r="F104" s="29" t="str">
        <f>IF(D104="Empty Row", "Empty Row",
   _xlfn.LET(
       _xlpm.lookupResult, _xlfn.XLOOKUP(D104, RawDataTable[Account Name and Number], RawDataTable[Investment Amount], "MISSING VALUE"),
       IF(ISNUMBER(_xlpm.lookupResult), _xlpm.lookupResult, "INVALID VALUE")
   )
)</f>
        <v>Empty Row</v>
      </c>
      <c r="G104" s="28" t="str">
        <f t="shared" ca="1" si="1"/>
        <v>Empty Row</v>
      </c>
      <c r="H104" s="29" t="str">
        <f>IF(D104="Empty Row", "Empty Row",
   _xlfn.LET(
       _xlpm.lookupResult, _xlfn.XLOOKUP(D104, RawDataTable[Account Name and Number], RawDataTable[Valuation Amount], "MISSING VALUE"),
       IF(ISNUMBER(_xlpm.lookupResult), _xlpm.lookupResult, "INVALID VALUE")
   )
)</f>
        <v>Empty Row</v>
      </c>
      <c r="I104" s="2" t="str">
        <f>IF(D104="Empty Row", "Empty Row", IF(_xlfn.XLOOKUP(B104, MasterTable[IRA Custodian], MasterTable[Address], "")="", "NO STREET NAME FOUND", _xlfn.XLOOKUP(B104, MasterTable[IRA Custodian], MasterTable[Address], "")))</f>
        <v>Empty Row</v>
      </c>
      <c r="J104" s="2" t="str">
        <f>IF(D104="Empty Row", "Empty Row",
   IF(OR(
       _xlfn.XLOOKUP(B104, MasterTable[IRA Custodian], MasterTable[City], "")="",
       _xlfn.XLOOKUP(B104, MasterTable[IRA Custodian], MasterTable[State], "")="",
       _xlfn.XLOOKUP(B104, MasterTable[IRA Custodian], MasterTable[Zip], "")=""),
       "INCOMPLETE ADDRESS",
       _xlfn.CONCAT(
           _xlfn.XLOOKUP(B104, MasterTable[IRA Custodian], MasterTable[City], ""), ", ",
           _xlfn.XLOOKUP(B104, MasterTable[IRA Custodian], MasterTable[State], ""), " ",
           _xlfn.XLOOKUP(B104, MasterTable[IRA Custodian], MasterTable[Zip], "")
       )
   )
)</f>
        <v>Empty Row</v>
      </c>
    </row>
    <row r="105" spans="1:10" x14ac:dyDescent="0.25">
      <c r="A105" t="str">
        <f>IF(D105="Empty Row", "Empty Row",
   _xlfn.LET(
       _xlpm.lookupResult, _xlfn.XLOOKUP(D105, RawDataTable[Account Name and Number], RawDataTable[Entity], "RAW DATA MISSING"),
       IF(ISBLANK(_xlpm.lookupResult), "RAW DATA MISSING", _xlpm.lookupResult)
   )
)</f>
        <v>Empty Row</v>
      </c>
      <c r="B105" t="str">
        <f>IF(D105="Empty Row", "Empty Row",
   _xlfn.LET(
       _xlpm.rawDataLookup, _xlfn.XLOOKUP(D105,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05" s="56" t="str" cm="1">
        <f t="array" ref="C105">IF(D105="Empty Row", "Empty Row",
   IF(COUNTIF('Name Mapping'!H:AD, D105) &gt; 0,
      INDEX('Name Mapping'!F:F, MATCH(TRUE, MMULT(--('Name Mapping'!H:AD=D105), TRANSPOSE(COLUMN('Name Mapping'!H:AD)^0)) &gt; 0, 0)),
      "")
)</f>
        <v>Empty Row</v>
      </c>
      <c r="D105" t="str">
        <f>IF(RawDataTable[[#This Row],[Account Name and Number]]&lt;&gt;"", RawDataTable[[#This Row],[Account Name and Number]], "Empty Row")</f>
        <v>Empty Row</v>
      </c>
      <c r="E105" s="28" t="str">
        <f>IF(D105="Empty Row", "Empty Row",
   _xlfn.LET(
       _xlpm.lookupResult, _xlfn.XLOOKUP(D105, RawDataTable[Account Name and Number], RawDataTable[Investment Date], "MISSING VALUE"),
       IF(ISNUMBER(_xlpm.lookupResult), _xlpm.lookupResult, "INVALID VALUE")
   )
)</f>
        <v>Empty Row</v>
      </c>
      <c r="F105" s="29" t="str">
        <f>IF(D105="Empty Row", "Empty Row",
   _xlfn.LET(
       _xlpm.lookupResult, _xlfn.XLOOKUP(D105, RawDataTable[Account Name and Number], RawDataTable[Investment Amount], "MISSING VALUE"),
       IF(ISNUMBER(_xlpm.lookupResult), _xlpm.lookupResult, "INVALID VALUE")
   )
)</f>
        <v>Empty Row</v>
      </c>
      <c r="G105" s="28" t="str">
        <f t="shared" ca="1" si="1"/>
        <v>Empty Row</v>
      </c>
      <c r="H105" s="29" t="str">
        <f>IF(D105="Empty Row", "Empty Row",
   _xlfn.LET(
       _xlpm.lookupResult, _xlfn.XLOOKUP(D105, RawDataTable[Account Name and Number], RawDataTable[Valuation Amount], "MISSING VALUE"),
       IF(ISNUMBER(_xlpm.lookupResult), _xlpm.lookupResult, "INVALID VALUE")
   )
)</f>
        <v>Empty Row</v>
      </c>
      <c r="I105" s="2" t="str">
        <f>IF(D105="Empty Row", "Empty Row", IF(_xlfn.XLOOKUP(B105, MasterTable[IRA Custodian], MasterTable[Address], "")="", "NO STREET NAME FOUND", _xlfn.XLOOKUP(B105, MasterTable[IRA Custodian], MasterTable[Address], "")))</f>
        <v>Empty Row</v>
      </c>
      <c r="J105" s="2" t="str">
        <f>IF(D105="Empty Row", "Empty Row",
   IF(OR(
       _xlfn.XLOOKUP(B105, MasterTable[IRA Custodian], MasterTable[City], "")="",
       _xlfn.XLOOKUP(B105, MasterTable[IRA Custodian], MasterTable[State], "")="",
       _xlfn.XLOOKUP(B105, MasterTable[IRA Custodian], MasterTable[Zip], "")=""),
       "INCOMPLETE ADDRESS",
       _xlfn.CONCAT(
           _xlfn.XLOOKUP(B105, MasterTable[IRA Custodian], MasterTable[City], ""), ", ",
           _xlfn.XLOOKUP(B105, MasterTable[IRA Custodian], MasterTable[State], ""), " ",
           _xlfn.XLOOKUP(B105, MasterTable[IRA Custodian], MasterTable[Zip], "")
       )
   )
)</f>
        <v>Empty Row</v>
      </c>
    </row>
    <row r="106" spans="1:10" x14ac:dyDescent="0.25">
      <c r="A106" t="str">
        <f>IF(D106="Empty Row", "Empty Row",
   _xlfn.LET(
       _xlpm.lookupResult, _xlfn.XLOOKUP(D106, RawDataTable[Account Name and Number], RawDataTable[Entity], "RAW DATA MISSING"),
       IF(ISBLANK(_xlpm.lookupResult), "RAW DATA MISSING", _xlpm.lookupResult)
   )
)</f>
        <v>Empty Row</v>
      </c>
      <c r="B106" t="str">
        <f>IF(D106="Empty Row", "Empty Row",
   _xlfn.LET(
       _xlpm.rawDataLookup, _xlfn.XLOOKUP(D106,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06" s="56" t="str" cm="1">
        <f t="array" ref="C106">IF(D106="Empty Row", "Empty Row",
   IF(COUNTIF('Name Mapping'!H:AD, D106) &gt; 0,
      INDEX('Name Mapping'!F:F, MATCH(TRUE, MMULT(--('Name Mapping'!H:AD=D106), TRANSPOSE(COLUMN('Name Mapping'!H:AD)^0)) &gt; 0, 0)),
      "")
)</f>
        <v>Empty Row</v>
      </c>
      <c r="D106" t="str">
        <f>IF(RawDataTable[[#This Row],[Account Name and Number]]&lt;&gt;"", RawDataTable[[#This Row],[Account Name and Number]], "Empty Row")</f>
        <v>Empty Row</v>
      </c>
      <c r="E106" s="28" t="str">
        <f>IF(D106="Empty Row", "Empty Row",
   _xlfn.LET(
       _xlpm.lookupResult, _xlfn.XLOOKUP(D106, RawDataTable[Account Name and Number], RawDataTable[Investment Date], "MISSING VALUE"),
       IF(ISNUMBER(_xlpm.lookupResult), _xlpm.lookupResult, "INVALID VALUE")
   )
)</f>
        <v>Empty Row</v>
      </c>
      <c r="F106" s="29" t="str">
        <f>IF(D106="Empty Row", "Empty Row",
   _xlfn.LET(
       _xlpm.lookupResult, _xlfn.XLOOKUP(D106, RawDataTable[Account Name and Number], RawDataTable[Investment Amount], "MISSING VALUE"),
       IF(ISNUMBER(_xlpm.lookupResult), _xlpm.lookupResult, "INVALID VALUE")
   )
)</f>
        <v>Empty Row</v>
      </c>
      <c r="G106" s="28" t="str">
        <f t="shared" ca="1" si="1"/>
        <v>Empty Row</v>
      </c>
      <c r="H106" s="29" t="str">
        <f>IF(D106="Empty Row", "Empty Row",
   _xlfn.LET(
       _xlpm.lookupResult, _xlfn.XLOOKUP(D106, RawDataTable[Account Name and Number], RawDataTable[Valuation Amount], "MISSING VALUE"),
       IF(ISNUMBER(_xlpm.lookupResult), _xlpm.lookupResult, "INVALID VALUE")
   )
)</f>
        <v>Empty Row</v>
      </c>
      <c r="I106" s="2" t="str">
        <f>IF(D106="Empty Row", "Empty Row", IF(_xlfn.XLOOKUP(B106, MasterTable[IRA Custodian], MasterTable[Address], "")="", "NO STREET NAME FOUND", _xlfn.XLOOKUP(B106, MasterTable[IRA Custodian], MasterTable[Address], "")))</f>
        <v>Empty Row</v>
      </c>
      <c r="J106" s="2" t="str">
        <f>IF(D106="Empty Row", "Empty Row",
   IF(OR(
       _xlfn.XLOOKUP(B106, MasterTable[IRA Custodian], MasterTable[City], "")="",
       _xlfn.XLOOKUP(B106, MasterTable[IRA Custodian], MasterTable[State], "")="",
       _xlfn.XLOOKUP(B106, MasterTable[IRA Custodian], MasterTable[Zip], "")=""),
       "INCOMPLETE ADDRESS",
       _xlfn.CONCAT(
           _xlfn.XLOOKUP(B106, MasterTable[IRA Custodian], MasterTable[City], ""), ", ",
           _xlfn.XLOOKUP(B106, MasterTable[IRA Custodian], MasterTable[State], ""), " ",
           _xlfn.XLOOKUP(B106, MasterTable[IRA Custodian], MasterTable[Zip], "")
       )
   )
)</f>
        <v>Empty Row</v>
      </c>
    </row>
    <row r="107" spans="1:10" x14ac:dyDescent="0.25">
      <c r="A107" t="str">
        <f>IF(D107="Empty Row", "Empty Row",
   _xlfn.LET(
       _xlpm.lookupResult, _xlfn.XLOOKUP(D107, RawDataTable[Account Name and Number], RawDataTable[Entity], "RAW DATA MISSING"),
       IF(ISBLANK(_xlpm.lookupResult), "RAW DATA MISSING", _xlpm.lookupResult)
   )
)</f>
        <v>Empty Row</v>
      </c>
      <c r="B107" t="str">
        <f>IF(D107="Empty Row", "Empty Row",
   _xlfn.LET(
       _xlpm.rawDataLookup, _xlfn.XLOOKUP(D107,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07" s="56" t="str" cm="1">
        <f t="array" ref="C107">IF(D107="Empty Row", "Empty Row",
   IF(COUNTIF('Name Mapping'!H:AD, D107) &gt; 0,
      INDEX('Name Mapping'!F:F, MATCH(TRUE, MMULT(--('Name Mapping'!H:AD=D107), TRANSPOSE(COLUMN('Name Mapping'!H:AD)^0)) &gt; 0, 0)),
      "")
)</f>
        <v>Empty Row</v>
      </c>
      <c r="D107" t="str">
        <f>IF(RawDataTable[[#This Row],[Account Name and Number]]&lt;&gt;"", RawDataTable[[#This Row],[Account Name and Number]], "Empty Row")</f>
        <v>Empty Row</v>
      </c>
      <c r="E107" s="28" t="str">
        <f>IF(D107="Empty Row", "Empty Row",
   _xlfn.LET(
       _xlpm.lookupResult, _xlfn.XLOOKUP(D107, RawDataTable[Account Name and Number], RawDataTable[Investment Date], "MISSING VALUE"),
       IF(ISNUMBER(_xlpm.lookupResult), _xlpm.lookupResult, "INVALID VALUE")
   )
)</f>
        <v>Empty Row</v>
      </c>
      <c r="F107" s="29" t="str">
        <f>IF(D107="Empty Row", "Empty Row",
   _xlfn.LET(
       _xlpm.lookupResult, _xlfn.XLOOKUP(D107, RawDataTable[Account Name and Number], RawDataTable[Investment Amount], "MISSING VALUE"),
       IF(ISNUMBER(_xlpm.lookupResult), _xlpm.lookupResult, "INVALID VALUE")
   )
)</f>
        <v>Empty Row</v>
      </c>
      <c r="G107" s="28" t="str">
        <f t="shared" ca="1" si="1"/>
        <v>Empty Row</v>
      </c>
      <c r="H107" s="29" t="str">
        <f>IF(D107="Empty Row", "Empty Row",
   _xlfn.LET(
       _xlpm.lookupResult, _xlfn.XLOOKUP(D107, RawDataTable[Account Name and Number], RawDataTable[Valuation Amount], "MISSING VALUE"),
       IF(ISNUMBER(_xlpm.lookupResult), _xlpm.lookupResult, "INVALID VALUE")
   )
)</f>
        <v>Empty Row</v>
      </c>
      <c r="I107" s="2" t="str">
        <f>IF(D107="Empty Row", "Empty Row", IF(_xlfn.XLOOKUP(B107, MasterTable[IRA Custodian], MasterTable[Address], "")="", "NO STREET NAME FOUND", _xlfn.XLOOKUP(B107, MasterTable[IRA Custodian], MasterTable[Address], "")))</f>
        <v>Empty Row</v>
      </c>
      <c r="J107" s="2" t="str">
        <f>IF(D107="Empty Row", "Empty Row",
   IF(OR(
       _xlfn.XLOOKUP(B107, MasterTable[IRA Custodian], MasterTable[City], "")="",
       _xlfn.XLOOKUP(B107, MasterTable[IRA Custodian], MasterTable[State], "")="",
       _xlfn.XLOOKUP(B107, MasterTable[IRA Custodian], MasterTable[Zip], "")=""),
       "INCOMPLETE ADDRESS",
       _xlfn.CONCAT(
           _xlfn.XLOOKUP(B107, MasterTable[IRA Custodian], MasterTable[City], ""), ", ",
           _xlfn.XLOOKUP(B107, MasterTable[IRA Custodian], MasterTable[State], ""), " ",
           _xlfn.XLOOKUP(B107, MasterTable[IRA Custodian], MasterTable[Zip], "")
       )
   )
)</f>
        <v>Empty Row</v>
      </c>
    </row>
    <row r="108" spans="1:10" x14ac:dyDescent="0.25">
      <c r="A108" t="str">
        <f>IF(D108="Empty Row", "Empty Row",
   _xlfn.LET(
       _xlpm.lookupResult, _xlfn.XLOOKUP(D108, RawDataTable[Account Name and Number], RawDataTable[Entity], "RAW DATA MISSING"),
       IF(ISBLANK(_xlpm.lookupResult), "RAW DATA MISSING", _xlpm.lookupResult)
   )
)</f>
        <v>Empty Row</v>
      </c>
      <c r="B108" t="str">
        <f>IF(D108="Empty Row", "Empty Row",
   _xlfn.LET(
       _xlpm.rawDataLookup, _xlfn.XLOOKUP(D108,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08" s="56" t="str" cm="1">
        <f t="array" ref="C108">IF(D108="Empty Row", "Empty Row",
   IF(COUNTIF('Name Mapping'!H:AD, D108) &gt; 0,
      INDEX('Name Mapping'!F:F, MATCH(TRUE, MMULT(--('Name Mapping'!H:AD=D108), TRANSPOSE(COLUMN('Name Mapping'!H:AD)^0)) &gt; 0, 0)),
      "")
)</f>
        <v>Empty Row</v>
      </c>
      <c r="D108" t="str">
        <f>IF(RawDataTable[[#This Row],[Account Name and Number]]&lt;&gt;"", RawDataTable[[#This Row],[Account Name and Number]], "Empty Row")</f>
        <v>Empty Row</v>
      </c>
      <c r="E108" s="28" t="str">
        <f>IF(D108="Empty Row", "Empty Row",
   _xlfn.LET(
       _xlpm.lookupResult, _xlfn.XLOOKUP(D108, RawDataTable[Account Name and Number], RawDataTable[Investment Date], "MISSING VALUE"),
       IF(ISNUMBER(_xlpm.lookupResult), _xlpm.lookupResult, "INVALID VALUE")
   )
)</f>
        <v>Empty Row</v>
      </c>
      <c r="F108" s="29" t="str">
        <f>IF(D108="Empty Row", "Empty Row",
   _xlfn.LET(
       _xlpm.lookupResult, _xlfn.XLOOKUP(D108, RawDataTable[Account Name and Number], RawDataTable[Investment Amount], "MISSING VALUE"),
       IF(ISNUMBER(_xlpm.lookupResult), _xlpm.lookupResult, "INVALID VALUE")
   )
)</f>
        <v>Empty Row</v>
      </c>
      <c r="G108" s="28" t="str">
        <f t="shared" ca="1" si="1"/>
        <v>Empty Row</v>
      </c>
      <c r="H108" s="29" t="str">
        <f>IF(D108="Empty Row", "Empty Row",
   _xlfn.LET(
       _xlpm.lookupResult, _xlfn.XLOOKUP(D108, RawDataTable[Account Name and Number], RawDataTable[Valuation Amount], "MISSING VALUE"),
       IF(ISNUMBER(_xlpm.lookupResult), _xlpm.lookupResult, "INVALID VALUE")
   )
)</f>
        <v>Empty Row</v>
      </c>
      <c r="I108" s="2" t="str">
        <f>IF(D108="Empty Row", "Empty Row", IF(_xlfn.XLOOKUP(B108, MasterTable[IRA Custodian], MasterTable[Address], "")="", "NO STREET NAME FOUND", _xlfn.XLOOKUP(B108, MasterTable[IRA Custodian], MasterTable[Address], "")))</f>
        <v>Empty Row</v>
      </c>
      <c r="J108" s="2" t="str">
        <f>IF(D108="Empty Row", "Empty Row",
   IF(OR(
       _xlfn.XLOOKUP(B108, MasterTable[IRA Custodian], MasterTable[City], "")="",
       _xlfn.XLOOKUP(B108, MasterTable[IRA Custodian], MasterTable[State], "")="",
       _xlfn.XLOOKUP(B108, MasterTable[IRA Custodian], MasterTable[Zip], "")=""),
       "INCOMPLETE ADDRESS",
       _xlfn.CONCAT(
           _xlfn.XLOOKUP(B108, MasterTable[IRA Custodian], MasterTable[City], ""), ", ",
           _xlfn.XLOOKUP(B108, MasterTable[IRA Custodian], MasterTable[State], ""), " ",
           _xlfn.XLOOKUP(B108, MasterTable[IRA Custodian], MasterTable[Zip], "")
       )
   )
)</f>
        <v>Empty Row</v>
      </c>
    </row>
    <row r="109" spans="1:10" x14ac:dyDescent="0.25">
      <c r="A109" t="str">
        <f>IF(D109="Empty Row", "Empty Row",
   _xlfn.LET(
       _xlpm.lookupResult, _xlfn.XLOOKUP(D109, RawDataTable[Account Name and Number], RawDataTable[Entity], "RAW DATA MISSING"),
       IF(ISBLANK(_xlpm.lookupResult), "RAW DATA MISSING", _xlpm.lookupResult)
   )
)</f>
        <v>Empty Row</v>
      </c>
      <c r="B109" t="str">
        <f>IF(D109="Empty Row", "Empty Row",
   _xlfn.LET(
       _xlpm.rawDataLookup, _xlfn.XLOOKUP(D109,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09" s="56" t="str" cm="1">
        <f t="array" ref="C109">IF(D109="Empty Row", "Empty Row",
   IF(COUNTIF('Name Mapping'!H:AD, D109) &gt; 0,
      INDEX('Name Mapping'!F:F, MATCH(TRUE, MMULT(--('Name Mapping'!H:AD=D109), TRANSPOSE(COLUMN('Name Mapping'!H:AD)^0)) &gt; 0, 0)),
      "")
)</f>
        <v>Empty Row</v>
      </c>
      <c r="D109" t="str">
        <f>IF(RawDataTable[[#This Row],[Account Name and Number]]&lt;&gt;"", RawDataTable[[#This Row],[Account Name and Number]], "Empty Row")</f>
        <v>Empty Row</v>
      </c>
      <c r="E109" s="28" t="str">
        <f>IF(D109="Empty Row", "Empty Row",
   _xlfn.LET(
       _xlpm.lookupResult, _xlfn.XLOOKUP(D109, RawDataTable[Account Name and Number], RawDataTable[Investment Date], "MISSING VALUE"),
       IF(ISNUMBER(_xlpm.lookupResult), _xlpm.lookupResult, "INVALID VALUE")
   )
)</f>
        <v>Empty Row</v>
      </c>
      <c r="F109" s="29" t="str">
        <f>IF(D109="Empty Row", "Empty Row",
   _xlfn.LET(
       _xlpm.lookupResult, _xlfn.XLOOKUP(D109, RawDataTable[Account Name and Number], RawDataTable[Investment Amount], "MISSING VALUE"),
       IF(ISNUMBER(_xlpm.lookupResult), _xlpm.lookupResult, "INVALID VALUE")
   )
)</f>
        <v>Empty Row</v>
      </c>
      <c r="G109" s="28" t="str">
        <f t="shared" ca="1" si="1"/>
        <v>Empty Row</v>
      </c>
      <c r="H109" s="29" t="str">
        <f>IF(D109="Empty Row", "Empty Row",
   _xlfn.LET(
       _xlpm.lookupResult, _xlfn.XLOOKUP(D109, RawDataTable[Account Name and Number], RawDataTable[Valuation Amount], "MISSING VALUE"),
       IF(ISNUMBER(_xlpm.lookupResult), _xlpm.lookupResult, "INVALID VALUE")
   )
)</f>
        <v>Empty Row</v>
      </c>
      <c r="I109" s="2" t="str">
        <f>IF(D109="Empty Row", "Empty Row", IF(_xlfn.XLOOKUP(B109, MasterTable[IRA Custodian], MasterTable[Address], "")="", "NO STREET NAME FOUND", _xlfn.XLOOKUP(B109, MasterTable[IRA Custodian], MasterTable[Address], "")))</f>
        <v>Empty Row</v>
      </c>
      <c r="J109" s="2" t="str">
        <f>IF(D109="Empty Row", "Empty Row",
   IF(OR(
       _xlfn.XLOOKUP(B109, MasterTable[IRA Custodian], MasterTable[City], "")="",
       _xlfn.XLOOKUP(B109, MasterTable[IRA Custodian], MasterTable[State], "")="",
       _xlfn.XLOOKUP(B109, MasterTable[IRA Custodian], MasterTable[Zip], "")=""),
       "INCOMPLETE ADDRESS",
       _xlfn.CONCAT(
           _xlfn.XLOOKUP(B109, MasterTable[IRA Custodian], MasterTable[City], ""), ", ",
           _xlfn.XLOOKUP(B109, MasterTable[IRA Custodian], MasterTable[State], ""), " ",
           _xlfn.XLOOKUP(B109, MasterTable[IRA Custodian], MasterTable[Zip], "")
       )
   )
)</f>
        <v>Empty Row</v>
      </c>
    </row>
    <row r="110" spans="1:10" x14ac:dyDescent="0.25">
      <c r="A110" t="str">
        <f>IF(D110="Empty Row", "Empty Row",
   _xlfn.LET(
       _xlpm.lookupResult, _xlfn.XLOOKUP(D110, RawDataTable[Account Name and Number], RawDataTable[Entity], "RAW DATA MISSING"),
       IF(ISBLANK(_xlpm.lookupResult), "RAW DATA MISSING", _xlpm.lookupResult)
   )
)</f>
        <v>Empty Row</v>
      </c>
      <c r="B110" t="str">
        <f>IF(D110="Empty Row", "Empty Row",
   _xlfn.LET(
       _xlpm.rawDataLookup, _xlfn.XLOOKUP(D110,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10" s="56" t="str" cm="1">
        <f t="array" ref="C110">IF(D110="Empty Row", "Empty Row",
   IF(COUNTIF('Name Mapping'!H:AD, D110) &gt; 0,
      INDEX('Name Mapping'!F:F, MATCH(TRUE, MMULT(--('Name Mapping'!H:AD=D110), TRANSPOSE(COLUMN('Name Mapping'!H:AD)^0)) &gt; 0, 0)),
      "")
)</f>
        <v>Empty Row</v>
      </c>
      <c r="D110" t="str">
        <f>IF(RawDataTable[[#This Row],[Account Name and Number]]&lt;&gt;"", RawDataTable[[#This Row],[Account Name and Number]], "Empty Row")</f>
        <v>Empty Row</v>
      </c>
      <c r="E110" s="28" t="str">
        <f>IF(D110="Empty Row", "Empty Row",
   _xlfn.LET(
       _xlpm.lookupResult, _xlfn.XLOOKUP(D110, RawDataTable[Account Name and Number], RawDataTable[Investment Date], "MISSING VALUE"),
       IF(ISNUMBER(_xlpm.lookupResult), _xlpm.lookupResult, "INVALID VALUE")
   )
)</f>
        <v>Empty Row</v>
      </c>
      <c r="F110" s="29" t="str">
        <f>IF(D110="Empty Row", "Empty Row",
   _xlfn.LET(
       _xlpm.lookupResult, _xlfn.XLOOKUP(D110, RawDataTable[Account Name and Number], RawDataTable[Investment Amount], "MISSING VALUE"),
       IF(ISNUMBER(_xlpm.lookupResult), _xlpm.lookupResult, "INVALID VALUE")
   )
)</f>
        <v>Empty Row</v>
      </c>
      <c r="G110" s="28" t="str">
        <f t="shared" ca="1" si="1"/>
        <v>Empty Row</v>
      </c>
      <c r="H110" s="29" t="str">
        <f>IF(D110="Empty Row", "Empty Row",
   _xlfn.LET(
       _xlpm.lookupResult, _xlfn.XLOOKUP(D110, RawDataTable[Account Name and Number], RawDataTable[Valuation Amount], "MISSING VALUE"),
       IF(ISNUMBER(_xlpm.lookupResult), _xlpm.lookupResult, "INVALID VALUE")
   )
)</f>
        <v>Empty Row</v>
      </c>
      <c r="I110" s="2" t="str">
        <f>IF(D110="Empty Row", "Empty Row", IF(_xlfn.XLOOKUP(B110, MasterTable[IRA Custodian], MasterTable[Address], "")="", "NO STREET NAME FOUND", _xlfn.XLOOKUP(B110, MasterTable[IRA Custodian], MasterTable[Address], "")))</f>
        <v>Empty Row</v>
      </c>
      <c r="J110" s="2" t="str">
        <f>IF(D110="Empty Row", "Empty Row",
   IF(OR(
       _xlfn.XLOOKUP(B110, MasterTable[IRA Custodian], MasterTable[City], "")="",
       _xlfn.XLOOKUP(B110, MasterTable[IRA Custodian], MasterTable[State], "")="",
       _xlfn.XLOOKUP(B110, MasterTable[IRA Custodian], MasterTable[Zip], "")=""),
       "INCOMPLETE ADDRESS",
       _xlfn.CONCAT(
           _xlfn.XLOOKUP(B110, MasterTable[IRA Custodian], MasterTable[City], ""), ", ",
           _xlfn.XLOOKUP(B110, MasterTable[IRA Custodian], MasterTable[State], ""), " ",
           _xlfn.XLOOKUP(B110, MasterTable[IRA Custodian], MasterTable[Zip], "")
       )
   )
)</f>
        <v>Empty Row</v>
      </c>
    </row>
    <row r="111" spans="1:10" x14ac:dyDescent="0.25">
      <c r="A111" t="str">
        <f>IF(D111="Empty Row", "Empty Row",
   _xlfn.LET(
       _xlpm.lookupResult, _xlfn.XLOOKUP(D111, RawDataTable[Account Name and Number], RawDataTable[Entity], "RAW DATA MISSING"),
       IF(ISBLANK(_xlpm.lookupResult), "RAW DATA MISSING", _xlpm.lookupResult)
   )
)</f>
        <v>Empty Row</v>
      </c>
      <c r="B111" t="str">
        <f>IF(D111="Empty Row", "Empty Row",
   _xlfn.LET(
       _xlpm.rawDataLookup, _xlfn.XLOOKUP(D111,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11" s="56" t="str" cm="1">
        <f t="array" ref="C111">IF(D111="Empty Row", "Empty Row",
   IF(COUNTIF('Name Mapping'!H:AD, D111) &gt; 0,
      INDEX('Name Mapping'!F:F, MATCH(TRUE, MMULT(--('Name Mapping'!H:AD=D111), TRANSPOSE(COLUMN('Name Mapping'!H:AD)^0)) &gt; 0, 0)),
      "")
)</f>
        <v>Empty Row</v>
      </c>
      <c r="D111" t="str">
        <f>IF(RawDataTable[[#This Row],[Account Name and Number]]&lt;&gt;"", RawDataTable[[#This Row],[Account Name and Number]], "Empty Row")</f>
        <v>Empty Row</v>
      </c>
      <c r="E111" s="28" t="str">
        <f>IF(D111="Empty Row", "Empty Row",
   _xlfn.LET(
       _xlpm.lookupResult, _xlfn.XLOOKUP(D111, RawDataTable[Account Name and Number], RawDataTable[Investment Date], "MISSING VALUE"),
       IF(ISNUMBER(_xlpm.lookupResult), _xlpm.lookupResult, "INVALID VALUE")
   )
)</f>
        <v>Empty Row</v>
      </c>
      <c r="F111" s="29" t="str">
        <f>IF(D111="Empty Row", "Empty Row",
   _xlfn.LET(
       _xlpm.lookupResult, _xlfn.XLOOKUP(D111, RawDataTable[Account Name and Number], RawDataTable[Investment Amount], "MISSING VALUE"),
       IF(ISNUMBER(_xlpm.lookupResult), _xlpm.lookupResult, "INVALID VALUE")
   )
)</f>
        <v>Empty Row</v>
      </c>
      <c r="G111" s="28" t="str">
        <f t="shared" ca="1" si="1"/>
        <v>Empty Row</v>
      </c>
      <c r="H111" s="29" t="str">
        <f>IF(D111="Empty Row", "Empty Row",
   _xlfn.LET(
       _xlpm.lookupResult, _xlfn.XLOOKUP(D111, RawDataTable[Account Name and Number], RawDataTable[Valuation Amount], "MISSING VALUE"),
       IF(ISNUMBER(_xlpm.lookupResult), _xlpm.lookupResult, "INVALID VALUE")
   )
)</f>
        <v>Empty Row</v>
      </c>
      <c r="I111" s="2" t="str">
        <f>IF(D111="Empty Row", "Empty Row", IF(_xlfn.XLOOKUP(B111, MasterTable[IRA Custodian], MasterTable[Address], "")="", "NO STREET NAME FOUND", _xlfn.XLOOKUP(B111, MasterTable[IRA Custodian], MasterTable[Address], "")))</f>
        <v>Empty Row</v>
      </c>
      <c r="J111" s="2" t="str">
        <f>IF(D111="Empty Row", "Empty Row",
   IF(OR(
       _xlfn.XLOOKUP(B111, MasterTable[IRA Custodian], MasterTable[City], "")="",
       _xlfn.XLOOKUP(B111, MasterTable[IRA Custodian], MasterTable[State], "")="",
       _xlfn.XLOOKUP(B111, MasterTable[IRA Custodian], MasterTable[Zip], "")=""),
       "INCOMPLETE ADDRESS",
       _xlfn.CONCAT(
           _xlfn.XLOOKUP(B111, MasterTable[IRA Custodian], MasterTable[City], ""), ", ",
           _xlfn.XLOOKUP(B111, MasterTable[IRA Custodian], MasterTable[State], ""), " ",
           _xlfn.XLOOKUP(B111, MasterTable[IRA Custodian], MasterTable[Zip], "")
       )
   )
)</f>
        <v>Empty Row</v>
      </c>
    </row>
    <row r="112" spans="1:10" x14ac:dyDescent="0.25">
      <c r="A112" t="str">
        <f>IF(D112="Empty Row", "Empty Row",
   _xlfn.LET(
       _xlpm.lookupResult, _xlfn.XLOOKUP(D112, RawDataTable[Account Name and Number], RawDataTable[Entity], "RAW DATA MISSING"),
       IF(ISBLANK(_xlpm.lookupResult), "RAW DATA MISSING", _xlpm.lookupResult)
   )
)</f>
        <v>Empty Row</v>
      </c>
      <c r="B112" t="str">
        <f>IF(D112="Empty Row", "Empty Row",
   _xlfn.LET(
       _xlpm.rawDataLookup, _xlfn.XLOOKUP(D112,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12" s="56" t="str" cm="1">
        <f t="array" ref="C112">IF(D112="Empty Row", "Empty Row",
   IF(COUNTIF('Name Mapping'!H:AD, D112) &gt; 0,
      INDEX('Name Mapping'!F:F, MATCH(TRUE, MMULT(--('Name Mapping'!H:AD=D112), TRANSPOSE(COLUMN('Name Mapping'!H:AD)^0)) &gt; 0, 0)),
      "")
)</f>
        <v>Empty Row</v>
      </c>
      <c r="D112" t="str">
        <f>IF(RawDataTable[[#This Row],[Account Name and Number]]&lt;&gt;"", RawDataTable[[#This Row],[Account Name and Number]], "Empty Row")</f>
        <v>Empty Row</v>
      </c>
      <c r="E112" s="28" t="str">
        <f>IF(D112="Empty Row", "Empty Row",
   _xlfn.LET(
       _xlpm.lookupResult, _xlfn.XLOOKUP(D112, RawDataTable[Account Name and Number], RawDataTable[Investment Date], "MISSING VALUE"),
       IF(ISNUMBER(_xlpm.lookupResult), _xlpm.lookupResult, "INVALID VALUE")
   )
)</f>
        <v>Empty Row</v>
      </c>
      <c r="F112" s="29" t="str">
        <f>IF(D112="Empty Row", "Empty Row",
   _xlfn.LET(
       _xlpm.lookupResult, _xlfn.XLOOKUP(D112, RawDataTable[Account Name and Number], RawDataTable[Investment Amount], "MISSING VALUE"),
       IF(ISNUMBER(_xlpm.lookupResult), _xlpm.lookupResult, "INVALID VALUE")
   )
)</f>
        <v>Empty Row</v>
      </c>
      <c r="G112" s="28" t="str">
        <f t="shared" ca="1" si="1"/>
        <v>Empty Row</v>
      </c>
      <c r="H112" s="29" t="str">
        <f>IF(D112="Empty Row", "Empty Row",
   _xlfn.LET(
       _xlpm.lookupResult, _xlfn.XLOOKUP(D112, RawDataTable[Account Name and Number], RawDataTable[Valuation Amount], "MISSING VALUE"),
       IF(ISNUMBER(_xlpm.lookupResult), _xlpm.lookupResult, "INVALID VALUE")
   )
)</f>
        <v>Empty Row</v>
      </c>
      <c r="I112" s="2" t="str">
        <f>IF(D112="Empty Row", "Empty Row", IF(_xlfn.XLOOKUP(B112, MasterTable[IRA Custodian], MasterTable[Address], "")="", "NO STREET NAME FOUND", _xlfn.XLOOKUP(B112, MasterTable[IRA Custodian], MasterTable[Address], "")))</f>
        <v>Empty Row</v>
      </c>
      <c r="J112" s="2" t="str">
        <f>IF(D112="Empty Row", "Empty Row",
   IF(OR(
       _xlfn.XLOOKUP(B112, MasterTable[IRA Custodian], MasterTable[City], "")="",
       _xlfn.XLOOKUP(B112, MasterTable[IRA Custodian], MasterTable[State], "")="",
       _xlfn.XLOOKUP(B112, MasterTable[IRA Custodian], MasterTable[Zip], "")=""),
       "INCOMPLETE ADDRESS",
       _xlfn.CONCAT(
           _xlfn.XLOOKUP(B112, MasterTable[IRA Custodian], MasterTable[City], ""), ", ",
           _xlfn.XLOOKUP(B112, MasterTable[IRA Custodian], MasterTable[State], ""), " ",
           _xlfn.XLOOKUP(B112, MasterTable[IRA Custodian], MasterTable[Zip], "")
       )
   )
)</f>
        <v>Empty Row</v>
      </c>
    </row>
    <row r="113" spans="1:10" x14ac:dyDescent="0.25">
      <c r="A113" t="str">
        <f>IF(D113="Empty Row", "Empty Row",
   _xlfn.LET(
       _xlpm.lookupResult, _xlfn.XLOOKUP(D113, RawDataTable[Account Name and Number], RawDataTable[Entity], "RAW DATA MISSING"),
       IF(ISBLANK(_xlpm.lookupResult), "RAW DATA MISSING", _xlpm.lookupResult)
   )
)</f>
        <v>Empty Row</v>
      </c>
      <c r="B113" t="str">
        <f>IF(D113="Empty Row", "Empty Row",
   _xlfn.LET(
       _xlpm.rawDataLookup, _xlfn.XLOOKUP(D113,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13" s="56" t="str" cm="1">
        <f t="array" ref="C113">IF(D113="Empty Row", "Empty Row",
   IF(COUNTIF('Name Mapping'!H:AD, D113) &gt; 0,
      INDEX('Name Mapping'!F:F, MATCH(TRUE, MMULT(--('Name Mapping'!H:AD=D113), TRANSPOSE(COLUMN('Name Mapping'!H:AD)^0)) &gt; 0, 0)),
      "")
)</f>
        <v>Empty Row</v>
      </c>
      <c r="D113" t="str">
        <f>IF(RawDataTable[[#This Row],[Account Name and Number]]&lt;&gt;"", RawDataTable[[#This Row],[Account Name and Number]], "Empty Row")</f>
        <v>Empty Row</v>
      </c>
      <c r="E113" s="28" t="str">
        <f>IF(D113="Empty Row", "Empty Row",
   _xlfn.LET(
       _xlpm.lookupResult, _xlfn.XLOOKUP(D113, RawDataTable[Account Name and Number], RawDataTable[Investment Date], "MISSING VALUE"),
       IF(ISNUMBER(_xlpm.lookupResult), _xlpm.lookupResult, "INVALID VALUE")
   )
)</f>
        <v>Empty Row</v>
      </c>
      <c r="F113" s="29" t="str">
        <f>IF(D113="Empty Row", "Empty Row",
   _xlfn.LET(
       _xlpm.lookupResult, _xlfn.XLOOKUP(D113, RawDataTable[Account Name and Number], RawDataTable[Investment Amount], "MISSING VALUE"),
       IF(ISNUMBER(_xlpm.lookupResult), _xlpm.lookupResult, "INVALID VALUE")
   )
)</f>
        <v>Empty Row</v>
      </c>
      <c r="G113" s="28" t="str">
        <f t="shared" ca="1" si="1"/>
        <v>Empty Row</v>
      </c>
      <c r="H113" s="29" t="str">
        <f>IF(D113="Empty Row", "Empty Row",
   _xlfn.LET(
       _xlpm.lookupResult, _xlfn.XLOOKUP(D113, RawDataTable[Account Name and Number], RawDataTable[Valuation Amount], "MISSING VALUE"),
       IF(ISNUMBER(_xlpm.lookupResult), _xlpm.lookupResult, "INVALID VALUE")
   )
)</f>
        <v>Empty Row</v>
      </c>
      <c r="I113" s="2" t="str">
        <f>IF(D113="Empty Row", "Empty Row", IF(_xlfn.XLOOKUP(B113, MasterTable[IRA Custodian], MasterTable[Address], "")="", "NO STREET NAME FOUND", _xlfn.XLOOKUP(B113, MasterTable[IRA Custodian], MasterTable[Address], "")))</f>
        <v>Empty Row</v>
      </c>
      <c r="J113" s="2" t="str">
        <f>IF(D113="Empty Row", "Empty Row",
   IF(OR(
       _xlfn.XLOOKUP(B113, MasterTable[IRA Custodian], MasterTable[City], "")="",
       _xlfn.XLOOKUP(B113, MasterTable[IRA Custodian], MasterTable[State], "")="",
       _xlfn.XLOOKUP(B113, MasterTable[IRA Custodian], MasterTable[Zip], "")=""),
       "INCOMPLETE ADDRESS",
       _xlfn.CONCAT(
           _xlfn.XLOOKUP(B113, MasterTable[IRA Custodian], MasterTable[City], ""), ", ",
           _xlfn.XLOOKUP(B113, MasterTable[IRA Custodian], MasterTable[State], ""), " ",
           _xlfn.XLOOKUP(B113, MasterTable[IRA Custodian], MasterTable[Zip], "")
       )
   )
)</f>
        <v>Empty Row</v>
      </c>
    </row>
    <row r="114" spans="1:10" x14ac:dyDescent="0.25">
      <c r="A114" t="str">
        <f>IF(D114="Empty Row", "Empty Row",
   _xlfn.LET(
       _xlpm.lookupResult, _xlfn.XLOOKUP(D114, RawDataTable[Account Name and Number], RawDataTable[Entity], "RAW DATA MISSING"),
       IF(ISBLANK(_xlpm.lookupResult), "RAW DATA MISSING", _xlpm.lookupResult)
   )
)</f>
        <v>Empty Row</v>
      </c>
      <c r="B114" t="str">
        <f>IF(D114="Empty Row", "Empty Row",
   _xlfn.LET(
       _xlpm.rawDataLookup, _xlfn.XLOOKUP(D114,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14" s="56" t="str" cm="1">
        <f t="array" ref="C114">IF(D114="Empty Row", "Empty Row",
   IF(COUNTIF('Name Mapping'!H:AD, D114) &gt; 0,
      INDEX('Name Mapping'!F:F, MATCH(TRUE, MMULT(--('Name Mapping'!H:AD=D114), TRANSPOSE(COLUMN('Name Mapping'!H:AD)^0)) &gt; 0, 0)),
      "")
)</f>
        <v>Empty Row</v>
      </c>
      <c r="D114" t="str">
        <f>IF(RawDataTable[[#This Row],[Account Name and Number]]&lt;&gt;"", RawDataTable[[#This Row],[Account Name and Number]], "Empty Row")</f>
        <v>Empty Row</v>
      </c>
      <c r="E114" s="28" t="str">
        <f>IF(D114="Empty Row", "Empty Row",
   _xlfn.LET(
       _xlpm.lookupResult, _xlfn.XLOOKUP(D114, RawDataTable[Account Name and Number], RawDataTable[Investment Date], "MISSING VALUE"),
       IF(ISNUMBER(_xlpm.lookupResult), _xlpm.lookupResult, "INVALID VALUE")
   )
)</f>
        <v>Empty Row</v>
      </c>
      <c r="F114" s="29" t="str">
        <f>IF(D114="Empty Row", "Empty Row",
   _xlfn.LET(
       _xlpm.lookupResult, _xlfn.XLOOKUP(D114, RawDataTable[Account Name and Number], RawDataTable[Investment Amount], "MISSING VALUE"),
       IF(ISNUMBER(_xlpm.lookupResult), _xlpm.lookupResult, "INVALID VALUE")
   )
)</f>
        <v>Empty Row</v>
      </c>
      <c r="G114" s="28" t="str">
        <f t="shared" ca="1" si="1"/>
        <v>Empty Row</v>
      </c>
      <c r="H114" s="29" t="str">
        <f>IF(D114="Empty Row", "Empty Row",
   _xlfn.LET(
       _xlpm.lookupResult, _xlfn.XLOOKUP(D114, RawDataTable[Account Name and Number], RawDataTable[Valuation Amount], "MISSING VALUE"),
       IF(ISNUMBER(_xlpm.lookupResult), _xlpm.lookupResult, "INVALID VALUE")
   )
)</f>
        <v>Empty Row</v>
      </c>
      <c r="I114" s="2" t="str">
        <f>IF(D114="Empty Row", "Empty Row", IF(_xlfn.XLOOKUP(B114, MasterTable[IRA Custodian], MasterTable[Address], "")="", "NO STREET NAME FOUND", _xlfn.XLOOKUP(B114, MasterTable[IRA Custodian], MasterTable[Address], "")))</f>
        <v>Empty Row</v>
      </c>
      <c r="J114" s="2" t="str">
        <f>IF(D114="Empty Row", "Empty Row",
   IF(OR(
       _xlfn.XLOOKUP(B114, MasterTable[IRA Custodian], MasterTable[City], "")="",
       _xlfn.XLOOKUP(B114, MasterTable[IRA Custodian], MasterTable[State], "")="",
       _xlfn.XLOOKUP(B114, MasterTable[IRA Custodian], MasterTable[Zip], "")=""),
       "INCOMPLETE ADDRESS",
       _xlfn.CONCAT(
           _xlfn.XLOOKUP(B114, MasterTable[IRA Custodian], MasterTable[City], ""), ", ",
           _xlfn.XLOOKUP(B114, MasterTable[IRA Custodian], MasterTable[State], ""), " ",
           _xlfn.XLOOKUP(B114, MasterTable[IRA Custodian], MasterTable[Zip], "")
       )
   )
)</f>
        <v>Empty Row</v>
      </c>
    </row>
    <row r="115" spans="1:10" x14ac:dyDescent="0.25">
      <c r="A115" t="str">
        <f>IF(D115="Empty Row", "Empty Row",
   _xlfn.LET(
       _xlpm.lookupResult, _xlfn.XLOOKUP(D115, RawDataTable[Account Name and Number], RawDataTable[Entity], "RAW DATA MISSING"),
       IF(ISBLANK(_xlpm.lookupResult), "RAW DATA MISSING", _xlpm.lookupResult)
   )
)</f>
        <v>Empty Row</v>
      </c>
      <c r="B115" t="str">
        <f>IF(D115="Empty Row", "Empty Row",
   _xlfn.LET(
       _xlpm.rawDataLookup, _xlfn.XLOOKUP(D115,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15" s="56" t="str" cm="1">
        <f t="array" ref="C115">IF(D115="Empty Row", "Empty Row",
   IF(COUNTIF('Name Mapping'!H:AD, D115) &gt; 0,
      INDEX('Name Mapping'!F:F, MATCH(TRUE, MMULT(--('Name Mapping'!H:AD=D115), TRANSPOSE(COLUMN('Name Mapping'!H:AD)^0)) &gt; 0, 0)),
      "")
)</f>
        <v>Empty Row</v>
      </c>
      <c r="D115" t="str">
        <f>IF(RawDataTable[[#This Row],[Account Name and Number]]&lt;&gt;"", RawDataTable[[#This Row],[Account Name and Number]], "Empty Row")</f>
        <v>Empty Row</v>
      </c>
      <c r="E115" s="28" t="str">
        <f>IF(D115="Empty Row", "Empty Row",
   _xlfn.LET(
       _xlpm.lookupResult, _xlfn.XLOOKUP(D115, RawDataTable[Account Name and Number], RawDataTable[Investment Date], "MISSING VALUE"),
       IF(ISNUMBER(_xlpm.lookupResult), _xlpm.lookupResult, "INVALID VALUE")
   )
)</f>
        <v>Empty Row</v>
      </c>
      <c r="F115" s="29" t="str">
        <f>IF(D115="Empty Row", "Empty Row",
   _xlfn.LET(
       _xlpm.lookupResult, _xlfn.XLOOKUP(D115, RawDataTable[Account Name and Number], RawDataTable[Investment Amount], "MISSING VALUE"),
       IF(ISNUMBER(_xlpm.lookupResult), _xlpm.lookupResult, "INVALID VALUE")
   )
)</f>
        <v>Empty Row</v>
      </c>
      <c r="G115" s="28" t="str">
        <f t="shared" ca="1" si="1"/>
        <v>Empty Row</v>
      </c>
      <c r="H115" s="29" t="str">
        <f>IF(D115="Empty Row", "Empty Row",
   _xlfn.LET(
       _xlpm.lookupResult, _xlfn.XLOOKUP(D115, RawDataTable[Account Name and Number], RawDataTable[Valuation Amount], "MISSING VALUE"),
       IF(ISNUMBER(_xlpm.lookupResult), _xlpm.lookupResult, "INVALID VALUE")
   )
)</f>
        <v>Empty Row</v>
      </c>
      <c r="I115" s="2" t="str">
        <f>IF(D115="Empty Row", "Empty Row", IF(_xlfn.XLOOKUP(B115, MasterTable[IRA Custodian], MasterTable[Address], "")="", "NO STREET NAME FOUND", _xlfn.XLOOKUP(B115, MasterTable[IRA Custodian], MasterTable[Address], "")))</f>
        <v>Empty Row</v>
      </c>
      <c r="J115" s="2" t="str">
        <f>IF(D115="Empty Row", "Empty Row",
   IF(OR(
       _xlfn.XLOOKUP(B115, MasterTable[IRA Custodian], MasterTable[City], "")="",
       _xlfn.XLOOKUP(B115, MasterTable[IRA Custodian], MasterTable[State], "")="",
       _xlfn.XLOOKUP(B115, MasterTable[IRA Custodian], MasterTable[Zip], "")=""),
       "INCOMPLETE ADDRESS",
       _xlfn.CONCAT(
           _xlfn.XLOOKUP(B115, MasterTable[IRA Custodian], MasterTable[City], ""), ", ",
           _xlfn.XLOOKUP(B115, MasterTable[IRA Custodian], MasterTable[State], ""), " ",
           _xlfn.XLOOKUP(B115, MasterTable[IRA Custodian], MasterTable[Zip], "")
       )
   )
)</f>
        <v>Empty Row</v>
      </c>
    </row>
    <row r="116" spans="1:10" x14ac:dyDescent="0.25">
      <c r="A116" t="str">
        <f>IF(D116="Empty Row", "Empty Row",
   _xlfn.LET(
       _xlpm.lookupResult, _xlfn.XLOOKUP(D116, RawDataTable[Account Name and Number], RawDataTable[Entity], "RAW DATA MISSING"),
       IF(ISBLANK(_xlpm.lookupResult), "RAW DATA MISSING", _xlpm.lookupResult)
   )
)</f>
        <v>Empty Row</v>
      </c>
      <c r="B116" t="str">
        <f>IF(D116="Empty Row", "Empty Row",
   _xlfn.LET(
       _xlpm.rawDataLookup, _xlfn.XLOOKUP(D116,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16" s="56" t="str" cm="1">
        <f t="array" ref="C116">IF(D116="Empty Row", "Empty Row",
   IF(COUNTIF('Name Mapping'!H:AD, D116) &gt; 0,
      INDEX('Name Mapping'!F:F, MATCH(TRUE, MMULT(--('Name Mapping'!H:AD=D116), TRANSPOSE(COLUMN('Name Mapping'!H:AD)^0)) &gt; 0, 0)),
      "")
)</f>
        <v>Empty Row</v>
      </c>
      <c r="D116" t="str">
        <f>IF(RawDataTable[[#This Row],[Account Name and Number]]&lt;&gt;"", RawDataTable[[#This Row],[Account Name and Number]], "Empty Row")</f>
        <v>Empty Row</v>
      </c>
      <c r="E116" s="28" t="str">
        <f>IF(D116="Empty Row", "Empty Row",
   _xlfn.LET(
       _xlpm.lookupResult, _xlfn.XLOOKUP(D116, RawDataTable[Account Name and Number], RawDataTable[Investment Date], "MISSING VALUE"),
       IF(ISNUMBER(_xlpm.lookupResult), _xlpm.lookupResult, "INVALID VALUE")
   )
)</f>
        <v>Empty Row</v>
      </c>
      <c r="F116" s="29" t="str">
        <f>IF(D116="Empty Row", "Empty Row",
   _xlfn.LET(
       _xlpm.lookupResult, _xlfn.XLOOKUP(D116, RawDataTable[Account Name and Number], RawDataTable[Investment Amount], "MISSING VALUE"),
       IF(ISNUMBER(_xlpm.lookupResult), _xlpm.lookupResult, "INVALID VALUE")
   )
)</f>
        <v>Empty Row</v>
      </c>
      <c r="G116" s="28" t="str">
        <f t="shared" ca="1" si="1"/>
        <v>Empty Row</v>
      </c>
      <c r="H116" s="29" t="str">
        <f>IF(D116="Empty Row", "Empty Row",
   _xlfn.LET(
       _xlpm.lookupResult, _xlfn.XLOOKUP(D116, RawDataTable[Account Name and Number], RawDataTable[Valuation Amount], "MISSING VALUE"),
       IF(ISNUMBER(_xlpm.lookupResult), _xlpm.lookupResult, "INVALID VALUE")
   )
)</f>
        <v>Empty Row</v>
      </c>
      <c r="I116" s="2" t="str">
        <f>IF(D116="Empty Row", "Empty Row", IF(_xlfn.XLOOKUP(B116, MasterTable[IRA Custodian], MasterTable[Address], "")="", "NO STREET NAME FOUND", _xlfn.XLOOKUP(B116, MasterTable[IRA Custodian], MasterTable[Address], "")))</f>
        <v>Empty Row</v>
      </c>
      <c r="J116" s="2" t="str">
        <f>IF(D116="Empty Row", "Empty Row",
   IF(OR(
       _xlfn.XLOOKUP(B116, MasterTable[IRA Custodian], MasterTable[City], "")="",
       _xlfn.XLOOKUP(B116, MasterTable[IRA Custodian], MasterTable[State], "")="",
       _xlfn.XLOOKUP(B116, MasterTable[IRA Custodian], MasterTable[Zip], "")=""),
       "INCOMPLETE ADDRESS",
       _xlfn.CONCAT(
           _xlfn.XLOOKUP(B116, MasterTable[IRA Custodian], MasterTable[City], ""), ", ",
           _xlfn.XLOOKUP(B116, MasterTable[IRA Custodian], MasterTable[State], ""), " ",
           _xlfn.XLOOKUP(B116, MasterTable[IRA Custodian], MasterTable[Zip], "")
       )
   )
)</f>
        <v>Empty Row</v>
      </c>
    </row>
    <row r="117" spans="1:10" x14ac:dyDescent="0.25">
      <c r="A117" t="str">
        <f>IF(D117="Empty Row", "Empty Row",
   _xlfn.LET(
       _xlpm.lookupResult, _xlfn.XLOOKUP(D117, RawDataTable[Account Name and Number], RawDataTable[Entity], "RAW DATA MISSING"),
       IF(ISBLANK(_xlpm.lookupResult), "RAW DATA MISSING", _xlpm.lookupResult)
   )
)</f>
        <v>Empty Row</v>
      </c>
      <c r="B117" t="str">
        <f>IF(D117="Empty Row", "Empty Row",
   _xlfn.LET(
       _xlpm.rawDataLookup, _xlfn.XLOOKUP(D117,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17" s="56" t="str" cm="1">
        <f t="array" ref="C117">IF(D117="Empty Row", "Empty Row",
   IF(COUNTIF('Name Mapping'!H:AD, D117) &gt; 0,
      INDEX('Name Mapping'!F:F, MATCH(TRUE, MMULT(--('Name Mapping'!H:AD=D117), TRANSPOSE(COLUMN('Name Mapping'!H:AD)^0)) &gt; 0, 0)),
      "")
)</f>
        <v>Empty Row</v>
      </c>
      <c r="D117" t="str">
        <f>IF(RawDataTable[[#This Row],[Account Name and Number]]&lt;&gt;"", RawDataTable[[#This Row],[Account Name and Number]], "Empty Row")</f>
        <v>Empty Row</v>
      </c>
      <c r="E117" s="28" t="str">
        <f>IF(D117="Empty Row", "Empty Row",
   _xlfn.LET(
       _xlpm.lookupResult, _xlfn.XLOOKUP(D117, RawDataTable[Account Name and Number], RawDataTable[Investment Date], "MISSING VALUE"),
       IF(ISNUMBER(_xlpm.lookupResult), _xlpm.lookupResult, "INVALID VALUE")
   )
)</f>
        <v>Empty Row</v>
      </c>
      <c r="F117" s="29" t="str">
        <f>IF(D117="Empty Row", "Empty Row",
   _xlfn.LET(
       _xlpm.lookupResult, _xlfn.XLOOKUP(D117, RawDataTable[Account Name and Number], RawDataTable[Investment Amount], "MISSING VALUE"),
       IF(ISNUMBER(_xlpm.lookupResult), _xlpm.lookupResult, "INVALID VALUE")
   )
)</f>
        <v>Empty Row</v>
      </c>
      <c r="G117" s="28" t="str">
        <f t="shared" ca="1" si="1"/>
        <v>Empty Row</v>
      </c>
      <c r="H117" s="29" t="str">
        <f>IF(D117="Empty Row", "Empty Row",
   _xlfn.LET(
       _xlpm.lookupResult, _xlfn.XLOOKUP(D117, RawDataTable[Account Name and Number], RawDataTable[Valuation Amount], "MISSING VALUE"),
       IF(ISNUMBER(_xlpm.lookupResult), _xlpm.lookupResult, "INVALID VALUE")
   )
)</f>
        <v>Empty Row</v>
      </c>
      <c r="I117" s="2" t="str">
        <f>IF(D117="Empty Row", "Empty Row", IF(_xlfn.XLOOKUP(B117, MasterTable[IRA Custodian], MasterTable[Address], "")="", "NO STREET NAME FOUND", _xlfn.XLOOKUP(B117, MasterTable[IRA Custodian], MasterTable[Address], "")))</f>
        <v>Empty Row</v>
      </c>
      <c r="J117" s="2" t="str">
        <f>IF(D117="Empty Row", "Empty Row",
   IF(OR(
       _xlfn.XLOOKUP(B117, MasterTable[IRA Custodian], MasterTable[City], "")="",
       _xlfn.XLOOKUP(B117, MasterTable[IRA Custodian], MasterTable[State], "")="",
       _xlfn.XLOOKUP(B117, MasterTable[IRA Custodian], MasterTable[Zip], "")=""),
       "INCOMPLETE ADDRESS",
       _xlfn.CONCAT(
           _xlfn.XLOOKUP(B117, MasterTable[IRA Custodian], MasterTable[City], ""), ", ",
           _xlfn.XLOOKUP(B117, MasterTable[IRA Custodian], MasterTable[State], ""), " ",
           _xlfn.XLOOKUP(B117, MasterTable[IRA Custodian], MasterTable[Zip], "")
       )
   )
)</f>
        <v>Empty Row</v>
      </c>
    </row>
    <row r="118" spans="1:10" x14ac:dyDescent="0.25">
      <c r="A118" t="str">
        <f>IF(D118="Empty Row", "Empty Row",
   _xlfn.LET(
       _xlpm.lookupResult, _xlfn.XLOOKUP(D118, RawDataTable[Account Name and Number], RawDataTable[Entity], "RAW DATA MISSING"),
       IF(ISBLANK(_xlpm.lookupResult), "RAW DATA MISSING", _xlpm.lookupResult)
   )
)</f>
        <v>Empty Row</v>
      </c>
      <c r="B118" t="str">
        <f>IF(D118="Empty Row", "Empty Row",
   _xlfn.LET(
       _xlpm.rawDataLookup, _xlfn.XLOOKUP(D118,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18" s="56" t="str" cm="1">
        <f t="array" ref="C118">IF(D118="Empty Row", "Empty Row",
   IF(COUNTIF('Name Mapping'!H:AD, D118) &gt; 0,
      INDEX('Name Mapping'!F:F, MATCH(TRUE, MMULT(--('Name Mapping'!H:AD=D118), TRANSPOSE(COLUMN('Name Mapping'!H:AD)^0)) &gt; 0, 0)),
      "")
)</f>
        <v>Empty Row</v>
      </c>
      <c r="D118" t="str">
        <f>IF(RawDataTable[[#This Row],[Account Name and Number]]&lt;&gt;"", RawDataTable[[#This Row],[Account Name and Number]], "Empty Row")</f>
        <v>Empty Row</v>
      </c>
      <c r="E118" s="28" t="str">
        <f>IF(D118="Empty Row", "Empty Row",
   _xlfn.LET(
       _xlpm.lookupResult, _xlfn.XLOOKUP(D118, RawDataTable[Account Name and Number], RawDataTable[Investment Date], "MISSING VALUE"),
       IF(ISNUMBER(_xlpm.lookupResult), _xlpm.lookupResult, "INVALID VALUE")
   )
)</f>
        <v>Empty Row</v>
      </c>
      <c r="F118" s="29" t="str">
        <f>IF(D118="Empty Row", "Empty Row",
   _xlfn.LET(
       _xlpm.lookupResult, _xlfn.XLOOKUP(D118, RawDataTable[Account Name and Number], RawDataTable[Investment Amount], "MISSING VALUE"),
       IF(ISNUMBER(_xlpm.lookupResult), _xlpm.lookupResult, "INVALID VALUE")
   )
)</f>
        <v>Empty Row</v>
      </c>
      <c r="G118" s="28" t="str">
        <f t="shared" ca="1" si="1"/>
        <v>Empty Row</v>
      </c>
      <c r="H118" s="29" t="str">
        <f>IF(D118="Empty Row", "Empty Row",
   _xlfn.LET(
       _xlpm.lookupResult, _xlfn.XLOOKUP(D118, RawDataTable[Account Name and Number], RawDataTable[Valuation Amount], "MISSING VALUE"),
       IF(ISNUMBER(_xlpm.lookupResult), _xlpm.lookupResult, "INVALID VALUE")
   )
)</f>
        <v>Empty Row</v>
      </c>
      <c r="I118" s="2" t="str">
        <f>IF(D118="Empty Row", "Empty Row", IF(_xlfn.XLOOKUP(B118, MasterTable[IRA Custodian], MasterTable[Address], "")="", "NO STREET NAME FOUND", _xlfn.XLOOKUP(B118, MasterTable[IRA Custodian], MasterTable[Address], "")))</f>
        <v>Empty Row</v>
      </c>
      <c r="J118" s="2" t="str">
        <f>IF(D118="Empty Row", "Empty Row",
   IF(OR(
       _xlfn.XLOOKUP(B118, MasterTable[IRA Custodian], MasterTable[City], "")="",
       _xlfn.XLOOKUP(B118, MasterTable[IRA Custodian], MasterTable[State], "")="",
       _xlfn.XLOOKUP(B118, MasterTable[IRA Custodian], MasterTable[Zip], "")=""),
       "INCOMPLETE ADDRESS",
       _xlfn.CONCAT(
           _xlfn.XLOOKUP(B118, MasterTable[IRA Custodian], MasterTable[City], ""), ", ",
           _xlfn.XLOOKUP(B118, MasterTable[IRA Custodian], MasterTable[State], ""), " ",
           _xlfn.XLOOKUP(B118, MasterTable[IRA Custodian], MasterTable[Zip], "")
       )
   )
)</f>
        <v>Empty Row</v>
      </c>
    </row>
    <row r="119" spans="1:10" x14ac:dyDescent="0.25">
      <c r="A119" t="str">
        <f>IF(D119="Empty Row", "Empty Row",
   _xlfn.LET(
       _xlpm.lookupResult, _xlfn.XLOOKUP(D119, RawDataTable[Account Name and Number], RawDataTable[Entity], "RAW DATA MISSING"),
       IF(ISBLANK(_xlpm.lookupResult), "RAW DATA MISSING", _xlpm.lookupResult)
   )
)</f>
        <v>Empty Row</v>
      </c>
      <c r="B119" t="str">
        <f>IF(D119="Empty Row", "Empty Row",
   _xlfn.LET(
       _xlpm.rawDataLookup, _xlfn.XLOOKUP(D119,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19" s="56" t="str" cm="1">
        <f t="array" ref="C119">IF(D119="Empty Row", "Empty Row",
   IF(COUNTIF('Name Mapping'!H:AD, D119) &gt; 0,
      INDEX('Name Mapping'!F:F, MATCH(TRUE, MMULT(--('Name Mapping'!H:AD=D119), TRANSPOSE(COLUMN('Name Mapping'!H:AD)^0)) &gt; 0, 0)),
      "")
)</f>
        <v>Empty Row</v>
      </c>
      <c r="D119" t="str">
        <f>IF(RawDataTable[[#This Row],[Account Name and Number]]&lt;&gt;"", RawDataTable[[#This Row],[Account Name and Number]], "Empty Row")</f>
        <v>Empty Row</v>
      </c>
      <c r="E119" s="28" t="str">
        <f>IF(D119="Empty Row", "Empty Row",
   _xlfn.LET(
       _xlpm.lookupResult, _xlfn.XLOOKUP(D119, RawDataTable[Account Name and Number], RawDataTable[Investment Date], "MISSING VALUE"),
       IF(ISNUMBER(_xlpm.lookupResult), _xlpm.lookupResult, "INVALID VALUE")
   )
)</f>
        <v>Empty Row</v>
      </c>
      <c r="F119" s="29" t="str">
        <f>IF(D119="Empty Row", "Empty Row",
   _xlfn.LET(
       _xlpm.lookupResult, _xlfn.XLOOKUP(D119, RawDataTable[Account Name and Number], RawDataTable[Investment Amount], "MISSING VALUE"),
       IF(ISNUMBER(_xlpm.lookupResult), _xlpm.lookupResult, "INVALID VALUE")
   )
)</f>
        <v>Empty Row</v>
      </c>
      <c r="G119" s="28" t="str">
        <f t="shared" ca="1" si="1"/>
        <v>Empty Row</v>
      </c>
      <c r="H119" s="29" t="str">
        <f>IF(D119="Empty Row", "Empty Row",
   _xlfn.LET(
       _xlpm.lookupResult, _xlfn.XLOOKUP(D119, RawDataTable[Account Name and Number], RawDataTable[Valuation Amount], "MISSING VALUE"),
       IF(ISNUMBER(_xlpm.lookupResult), _xlpm.lookupResult, "INVALID VALUE")
   )
)</f>
        <v>Empty Row</v>
      </c>
      <c r="I119" s="2" t="str">
        <f>IF(D119="Empty Row", "Empty Row", IF(_xlfn.XLOOKUP(B119, MasterTable[IRA Custodian], MasterTable[Address], "")="", "NO STREET NAME FOUND", _xlfn.XLOOKUP(B119, MasterTable[IRA Custodian], MasterTable[Address], "")))</f>
        <v>Empty Row</v>
      </c>
      <c r="J119" s="2" t="str">
        <f>IF(D119="Empty Row", "Empty Row",
   IF(OR(
       _xlfn.XLOOKUP(B119, MasterTable[IRA Custodian], MasterTable[City], "")="",
       _xlfn.XLOOKUP(B119, MasterTable[IRA Custodian], MasterTable[State], "")="",
       _xlfn.XLOOKUP(B119, MasterTable[IRA Custodian], MasterTable[Zip], "")=""),
       "INCOMPLETE ADDRESS",
       _xlfn.CONCAT(
           _xlfn.XLOOKUP(B119, MasterTable[IRA Custodian], MasterTable[City], ""), ", ",
           _xlfn.XLOOKUP(B119, MasterTable[IRA Custodian], MasterTable[State], ""), " ",
           _xlfn.XLOOKUP(B119, MasterTable[IRA Custodian], MasterTable[Zip], "")
       )
   )
)</f>
        <v>Empty Row</v>
      </c>
    </row>
    <row r="120" spans="1:10" x14ac:dyDescent="0.25">
      <c r="A120" t="str">
        <f>IF(D120="Empty Row", "Empty Row",
   _xlfn.LET(
       _xlpm.lookupResult, _xlfn.XLOOKUP(D120, RawDataTable[Account Name and Number], RawDataTable[Entity], "RAW DATA MISSING"),
       IF(ISBLANK(_xlpm.lookupResult), "RAW DATA MISSING", _xlpm.lookupResult)
   )
)</f>
        <v>Empty Row</v>
      </c>
      <c r="B120" t="str">
        <f>IF(D120="Empty Row", "Empty Row",
   _xlfn.LET(
       _xlpm.rawDataLookup, _xlfn.XLOOKUP(D120,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20" s="56" t="str" cm="1">
        <f t="array" ref="C120">IF(D120="Empty Row", "Empty Row",
   IF(COUNTIF('Name Mapping'!H:AD, D120) &gt; 0,
      INDEX('Name Mapping'!F:F, MATCH(TRUE, MMULT(--('Name Mapping'!H:AD=D120), TRANSPOSE(COLUMN('Name Mapping'!H:AD)^0)) &gt; 0, 0)),
      "")
)</f>
        <v>Empty Row</v>
      </c>
      <c r="D120" t="str">
        <f>IF(RawDataTable[[#This Row],[Account Name and Number]]&lt;&gt;"", RawDataTable[[#This Row],[Account Name and Number]], "Empty Row")</f>
        <v>Empty Row</v>
      </c>
      <c r="E120" s="28" t="str">
        <f>IF(D120="Empty Row", "Empty Row",
   _xlfn.LET(
       _xlpm.lookupResult, _xlfn.XLOOKUP(D120, RawDataTable[Account Name and Number], RawDataTable[Investment Date], "MISSING VALUE"),
       IF(ISNUMBER(_xlpm.lookupResult), _xlpm.lookupResult, "INVALID VALUE")
   )
)</f>
        <v>Empty Row</v>
      </c>
      <c r="F120" s="29" t="str">
        <f>IF(D120="Empty Row", "Empty Row",
   _xlfn.LET(
       _xlpm.lookupResult, _xlfn.XLOOKUP(D120, RawDataTable[Account Name and Number], RawDataTable[Investment Amount], "MISSING VALUE"),
       IF(ISNUMBER(_xlpm.lookupResult), _xlpm.lookupResult, "INVALID VALUE")
   )
)</f>
        <v>Empty Row</v>
      </c>
      <c r="G120" s="28" t="str">
        <f t="shared" ca="1" si="1"/>
        <v>Empty Row</v>
      </c>
      <c r="H120" s="29" t="str">
        <f>IF(D120="Empty Row", "Empty Row",
   _xlfn.LET(
       _xlpm.lookupResult, _xlfn.XLOOKUP(D120, RawDataTable[Account Name and Number], RawDataTable[Valuation Amount], "MISSING VALUE"),
       IF(ISNUMBER(_xlpm.lookupResult), _xlpm.lookupResult, "INVALID VALUE")
   )
)</f>
        <v>Empty Row</v>
      </c>
      <c r="I120" s="2" t="str">
        <f>IF(D120="Empty Row", "Empty Row", IF(_xlfn.XLOOKUP(B120, MasterTable[IRA Custodian], MasterTable[Address], "")="", "NO STREET NAME FOUND", _xlfn.XLOOKUP(B120, MasterTable[IRA Custodian], MasterTable[Address], "")))</f>
        <v>Empty Row</v>
      </c>
      <c r="J120" s="2" t="str">
        <f>IF(D120="Empty Row", "Empty Row",
   IF(OR(
       _xlfn.XLOOKUP(B120, MasterTable[IRA Custodian], MasterTable[City], "")="",
       _xlfn.XLOOKUP(B120, MasterTable[IRA Custodian], MasterTable[State], "")="",
       _xlfn.XLOOKUP(B120, MasterTable[IRA Custodian], MasterTable[Zip], "")=""),
       "INCOMPLETE ADDRESS",
       _xlfn.CONCAT(
           _xlfn.XLOOKUP(B120, MasterTable[IRA Custodian], MasterTable[City], ""), ", ",
           _xlfn.XLOOKUP(B120, MasterTable[IRA Custodian], MasterTable[State], ""), " ",
           _xlfn.XLOOKUP(B120, MasterTable[IRA Custodian], MasterTable[Zip], "")
       )
   )
)</f>
        <v>Empty Row</v>
      </c>
    </row>
    <row r="121" spans="1:10" x14ac:dyDescent="0.25">
      <c r="A121" t="str">
        <f>IF(D121="Empty Row", "Empty Row",
   _xlfn.LET(
       _xlpm.lookupResult, _xlfn.XLOOKUP(D121, RawDataTable[Account Name and Number], RawDataTable[Entity], "RAW DATA MISSING"),
       IF(ISBLANK(_xlpm.lookupResult), "RAW DATA MISSING", _xlpm.lookupResult)
   )
)</f>
        <v>Empty Row</v>
      </c>
      <c r="B121" t="str">
        <f>IF(D121="Empty Row", "Empty Row",
   _xlfn.LET(
       _xlpm.rawDataLookup, _xlfn.XLOOKUP(D121,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21" s="56" t="str" cm="1">
        <f t="array" ref="C121">IF(D121="Empty Row", "Empty Row",
   IF(COUNTIF('Name Mapping'!H:AD, D121) &gt; 0,
      INDEX('Name Mapping'!F:F, MATCH(TRUE, MMULT(--('Name Mapping'!H:AD=D121), TRANSPOSE(COLUMN('Name Mapping'!H:AD)^0)) &gt; 0, 0)),
      "")
)</f>
        <v>Empty Row</v>
      </c>
      <c r="D121" t="str">
        <f>IF(RawDataTable[[#This Row],[Account Name and Number]]&lt;&gt;"", RawDataTable[[#This Row],[Account Name and Number]], "Empty Row")</f>
        <v>Empty Row</v>
      </c>
      <c r="E121" s="28" t="str">
        <f>IF(D121="Empty Row", "Empty Row",
   _xlfn.LET(
       _xlpm.lookupResult, _xlfn.XLOOKUP(D121, RawDataTable[Account Name and Number], RawDataTable[Investment Date], "MISSING VALUE"),
       IF(ISNUMBER(_xlpm.lookupResult), _xlpm.lookupResult, "INVALID VALUE")
   )
)</f>
        <v>Empty Row</v>
      </c>
      <c r="F121" s="29" t="str">
        <f>IF(D121="Empty Row", "Empty Row",
   _xlfn.LET(
       _xlpm.lookupResult, _xlfn.XLOOKUP(D121, RawDataTable[Account Name and Number], RawDataTable[Investment Amount], "MISSING VALUE"),
       IF(ISNUMBER(_xlpm.lookupResult), _xlpm.lookupResult, "INVALID VALUE")
   )
)</f>
        <v>Empty Row</v>
      </c>
      <c r="G121" s="28" t="str">
        <f t="shared" ca="1" si="1"/>
        <v>Empty Row</v>
      </c>
      <c r="H121" s="29" t="str">
        <f>IF(D121="Empty Row", "Empty Row",
   _xlfn.LET(
       _xlpm.lookupResult, _xlfn.XLOOKUP(D121, RawDataTable[Account Name and Number], RawDataTable[Valuation Amount], "MISSING VALUE"),
       IF(ISNUMBER(_xlpm.lookupResult), _xlpm.lookupResult, "INVALID VALUE")
   )
)</f>
        <v>Empty Row</v>
      </c>
      <c r="I121" s="2" t="str">
        <f>IF(D121="Empty Row", "Empty Row", IF(_xlfn.XLOOKUP(B121, MasterTable[IRA Custodian], MasterTable[Address], "")="", "NO STREET NAME FOUND", _xlfn.XLOOKUP(B121, MasterTable[IRA Custodian], MasterTable[Address], "")))</f>
        <v>Empty Row</v>
      </c>
      <c r="J121" s="2" t="str">
        <f>IF(D121="Empty Row", "Empty Row",
   IF(OR(
       _xlfn.XLOOKUP(B121, MasterTable[IRA Custodian], MasterTable[City], "")="",
       _xlfn.XLOOKUP(B121, MasterTable[IRA Custodian], MasterTable[State], "")="",
       _xlfn.XLOOKUP(B121, MasterTable[IRA Custodian], MasterTable[Zip], "")=""),
       "INCOMPLETE ADDRESS",
       _xlfn.CONCAT(
           _xlfn.XLOOKUP(B121, MasterTable[IRA Custodian], MasterTable[City], ""), ", ",
           _xlfn.XLOOKUP(B121, MasterTable[IRA Custodian], MasterTable[State], ""), " ",
           _xlfn.XLOOKUP(B121, MasterTable[IRA Custodian], MasterTable[Zip], "")
       )
   )
)</f>
        <v>Empty Row</v>
      </c>
    </row>
    <row r="122" spans="1:10" x14ac:dyDescent="0.25">
      <c r="A122" t="str">
        <f>IF(D122="Empty Row", "Empty Row",
   _xlfn.LET(
       _xlpm.lookupResult, _xlfn.XLOOKUP(D122, RawDataTable[Account Name and Number], RawDataTable[Entity], "RAW DATA MISSING"),
       IF(ISBLANK(_xlpm.lookupResult), "RAW DATA MISSING", _xlpm.lookupResult)
   )
)</f>
        <v>Empty Row</v>
      </c>
      <c r="B122" t="str">
        <f>IF(D122="Empty Row", "Empty Row",
   _xlfn.LET(
       _xlpm.rawDataLookup, _xlfn.XLOOKUP(D122,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22" s="56" t="str" cm="1">
        <f t="array" ref="C122">IF(D122="Empty Row", "Empty Row",
   IF(COUNTIF('Name Mapping'!H:AD, D122) &gt; 0,
      INDEX('Name Mapping'!F:F, MATCH(TRUE, MMULT(--('Name Mapping'!H:AD=D122), TRANSPOSE(COLUMN('Name Mapping'!H:AD)^0)) &gt; 0, 0)),
      "")
)</f>
        <v>Empty Row</v>
      </c>
      <c r="D122" t="str">
        <f>IF(RawDataTable[[#This Row],[Account Name and Number]]&lt;&gt;"", RawDataTable[[#This Row],[Account Name and Number]], "Empty Row")</f>
        <v>Empty Row</v>
      </c>
      <c r="E122" s="28" t="str">
        <f>IF(D122="Empty Row", "Empty Row",
   _xlfn.LET(
       _xlpm.lookupResult, _xlfn.XLOOKUP(D122, RawDataTable[Account Name and Number], RawDataTable[Investment Date], "MISSING VALUE"),
       IF(ISNUMBER(_xlpm.lookupResult), _xlpm.lookupResult, "INVALID VALUE")
   )
)</f>
        <v>Empty Row</v>
      </c>
      <c r="F122" s="29" t="str">
        <f>IF(D122="Empty Row", "Empty Row",
   _xlfn.LET(
       _xlpm.lookupResult, _xlfn.XLOOKUP(D122, RawDataTable[Account Name and Number], RawDataTable[Investment Amount], "MISSING VALUE"),
       IF(ISNUMBER(_xlpm.lookupResult), _xlpm.lookupResult, "INVALID VALUE")
   )
)</f>
        <v>Empty Row</v>
      </c>
      <c r="G122" s="28" t="str">
        <f t="shared" ca="1" si="1"/>
        <v>Empty Row</v>
      </c>
      <c r="H122" s="29" t="str">
        <f>IF(D122="Empty Row", "Empty Row",
   _xlfn.LET(
       _xlpm.lookupResult, _xlfn.XLOOKUP(D122, RawDataTable[Account Name and Number], RawDataTable[Valuation Amount], "MISSING VALUE"),
       IF(ISNUMBER(_xlpm.lookupResult), _xlpm.lookupResult, "INVALID VALUE")
   )
)</f>
        <v>Empty Row</v>
      </c>
      <c r="I122" s="2" t="str">
        <f>IF(D122="Empty Row", "Empty Row", IF(_xlfn.XLOOKUP(B122, MasterTable[IRA Custodian], MasterTable[Address], "")="", "NO STREET NAME FOUND", _xlfn.XLOOKUP(B122, MasterTable[IRA Custodian], MasterTable[Address], "")))</f>
        <v>Empty Row</v>
      </c>
      <c r="J122" s="2" t="str">
        <f>IF(D122="Empty Row", "Empty Row",
   IF(OR(
       _xlfn.XLOOKUP(B122, MasterTable[IRA Custodian], MasterTable[City], "")="",
       _xlfn.XLOOKUP(B122, MasterTable[IRA Custodian], MasterTable[State], "")="",
       _xlfn.XLOOKUP(B122, MasterTable[IRA Custodian], MasterTable[Zip], "")=""),
       "INCOMPLETE ADDRESS",
       _xlfn.CONCAT(
           _xlfn.XLOOKUP(B122, MasterTable[IRA Custodian], MasterTable[City], ""), ", ",
           _xlfn.XLOOKUP(B122, MasterTable[IRA Custodian], MasterTable[State], ""), " ",
           _xlfn.XLOOKUP(B122, MasterTable[IRA Custodian], MasterTable[Zip], "")
       )
   )
)</f>
        <v>Empty Row</v>
      </c>
    </row>
    <row r="123" spans="1:10" x14ac:dyDescent="0.25">
      <c r="A123" t="str">
        <f>IF(D123="Empty Row", "Empty Row",
   _xlfn.LET(
       _xlpm.lookupResult, _xlfn.XLOOKUP(D123, RawDataTable[Account Name and Number], RawDataTable[Entity], "RAW DATA MISSING"),
       IF(ISBLANK(_xlpm.lookupResult), "RAW DATA MISSING", _xlpm.lookupResult)
   )
)</f>
        <v>Empty Row</v>
      </c>
      <c r="B123" t="str">
        <f>IF(D123="Empty Row", "Empty Row",
   _xlfn.LET(
       _xlpm.rawDataLookup, _xlfn.XLOOKUP(D123,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23" s="56" t="str" cm="1">
        <f t="array" ref="C123">IF(D123="Empty Row", "Empty Row",
   IF(COUNTIF('Name Mapping'!H:AD, D123) &gt; 0,
      INDEX('Name Mapping'!F:F, MATCH(TRUE, MMULT(--('Name Mapping'!H:AD=D123), TRANSPOSE(COLUMN('Name Mapping'!H:AD)^0)) &gt; 0, 0)),
      "")
)</f>
        <v>Empty Row</v>
      </c>
      <c r="D123" t="str">
        <f>IF(RawDataTable[[#This Row],[Account Name and Number]]&lt;&gt;"", RawDataTable[[#This Row],[Account Name and Number]], "Empty Row")</f>
        <v>Empty Row</v>
      </c>
      <c r="E123" s="28" t="str">
        <f>IF(D123="Empty Row", "Empty Row",
   _xlfn.LET(
       _xlpm.lookupResult, _xlfn.XLOOKUP(D123, RawDataTable[Account Name and Number], RawDataTable[Investment Date], "MISSING VALUE"),
       IF(ISNUMBER(_xlpm.lookupResult), _xlpm.lookupResult, "INVALID VALUE")
   )
)</f>
        <v>Empty Row</v>
      </c>
      <c r="F123" s="29" t="str">
        <f>IF(D123="Empty Row", "Empty Row",
   _xlfn.LET(
       _xlpm.lookupResult, _xlfn.XLOOKUP(D123, RawDataTable[Account Name and Number], RawDataTable[Investment Amount], "MISSING VALUE"),
       IF(ISNUMBER(_xlpm.lookupResult), _xlpm.lookupResult, "INVALID VALUE")
   )
)</f>
        <v>Empty Row</v>
      </c>
      <c r="G123" s="28" t="str">
        <f t="shared" ca="1" si="1"/>
        <v>Empty Row</v>
      </c>
      <c r="H123" s="29" t="str">
        <f>IF(D123="Empty Row", "Empty Row",
   _xlfn.LET(
       _xlpm.lookupResult, _xlfn.XLOOKUP(D123, RawDataTable[Account Name and Number], RawDataTable[Valuation Amount], "MISSING VALUE"),
       IF(ISNUMBER(_xlpm.lookupResult), _xlpm.lookupResult, "INVALID VALUE")
   )
)</f>
        <v>Empty Row</v>
      </c>
      <c r="I123" s="2" t="str">
        <f>IF(D123="Empty Row", "Empty Row", IF(_xlfn.XLOOKUP(B123, MasterTable[IRA Custodian], MasterTable[Address], "")="", "NO STREET NAME FOUND", _xlfn.XLOOKUP(B123, MasterTable[IRA Custodian], MasterTable[Address], "")))</f>
        <v>Empty Row</v>
      </c>
      <c r="J123" s="2" t="str">
        <f>IF(D123="Empty Row", "Empty Row",
   IF(OR(
       _xlfn.XLOOKUP(B123, MasterTable[IRA Custodian], MasterTable[City], "")="",
       _xlfn.XLOOKUP(B123, MasterTable[IRA Custodian], MasterTable[State], "")="",
       _xlfn.XLOOKUP(B123, MasterTable[IRA Custodian], MasterTable[Zip], "")=""),
       "INCOMPLETE ADDRESS",
       _xlfn.CONCAT(
           _xlfn.XLOOKUP(B123, MasterTable[IRA Custodian], MasterTable[City], ""), ", ",
           _xlfn.XLOOKUP(B123, MasterTable[IRA Custodian], MasterTable[State], ""), " ",
           _xlfn.XLOOKUP(B123, MasterTable[IRA Custodian], MasterTable[Zip], "")
       )
   )
)</f>
        <v>Empty Row</v>
      </c>
    </row>
    <row r="124" spans="1:10" x14ac:dyDescent="0.25">
      <c r="A124" t="str">
        <f>IF(D124="Empty Row", "Empty Row",
   _xlfn.LET(
       _xlpm.lookupResult, _xlfn.XLOOKUP(D124, RawDataTable[Account Name and Number], RawDataTable[Entity], "RAW DATA MISSING"),
       IF(ISBLANK(_xlpm.lookupResult), "RAW DATA MISSING", _xlpm.lookupResult)
   )
)</f>
        <v>Empty Row</v>
      </c>
      <c r="B124" t="str">
        <f>IF(D124="Empty Row", "Empty Row",
   _xlfn.LET(
       _xlpm.rawDataLookup, _xlfn.XLOOKUP(D124,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24" s="56" t="str" cm="1">
        <f t="array" ref="C124">IF(D124="Empty Row", "Empty Row",
   IF(COUNTIF('Name Mapping'!H:AD, D124) &gt; 0,
      INDEX('Name Mapping'!F:F, MATCH(TRUE, MMULT(--('Name Mapping'!H:AD=D124), TRANSPOSE(COLUMN('Name Mapping'!H:AD)^0)) &gt; 0, 0)),
      "")
)</f>
        <v>Empty Row</v>
      </c>
      <c r="D124" t="str">
        <f>IF(RawDataTable[[#This Row],[Account Name and Number]]&lt;&gt;"", RawDataTable[[#This Row],[Account Name and Number]], "Empty Row")</f>
        <v>Empty Row</v>
      </c>
      <c r="E124" s="28" t="str">
        <f>IF(D124="Empty Row", "Empty Row",
   _xlfn.LET(
       _xlpm.lookupResult, _xlfn.XLOOKUP(D124, RawDataTable[Account Name and Number], RawDataTable[Investment Date], "MISSING VALUE"),
       IF(ISNUMBER(_xlpm.lookupResult), _xlpm.lookupResult, "INVALID VALUE")
   )
)</f>
        <v>Empty Row</v>
      </c>
      <c r="F124" s="29" t="str">
        <f>IF(D124="Empty Row", "Empty Row",
   _xlfn.LET(
       _xlpm.lookupResult, _xlfn.XLOOKUP(D124, RawDataTable[Account Name and Number], RawDataTable[Investment Amount], "MISSING VALUE"),
       IF(ISNUMBER(_xlpm.lookupResult), _xlpm.lookupResult, "INVALID VALUE")
   )
)</f>
        <v>Empty Row</v>
      </c>
      <c r="G124" s="28" t="str">
        <f t="shared" ca="1" si="1"/>
        <v>Empty Row</v>
      </c>
      <c r="H124" s="29" t="str">
        <f>IF(D124="Empty Row", "Empty Row",
   _xlfn.LET(
       _xlpm.lookupResult, _xlfn.XLOOKUP(D124, RawDataTable[Account Name and Number], RawDataTable[Valuation Amount], "MISSING VALUE"),
       IF(ISNUMBER(_xlpm.lookupResult), _xlpm.lookupResult, "INVALID VALUE")
   )
)</f>
        <v>Empty Row</v>
      </c>
      <c r="I124" s="2" t="str">
        <f>IF(D124="Empty Row", "Empty Row", IF(_xlfn.XLOOKUP(B124, MasterTable[IRA Custodian], MasterTable[Address], "")="", "NO STREET NAME FOUND", _xlfn.XLOOKUP(B124, MasterTable[IRA Custodian], MasterTable[Address], "")))</f>
        <v>Empty Row</v>
      </c>
      <c r="J124" s="2" t="str">
        <f>IF(D124="Empty Row", "Empty Row",
   IF(OR(
       _xlfn.XLOOKUP(B124, MasterTable[IRA Custodian], MasterTable[City], "")="",
       _xlfn.XLOOKUP(B124, MasterTable[IRA Custodian], MasterTable[State], "")="",
       _xlfn.XLOOKUP(B124, MasterTable[IRA Custodian], MasterTable[Zip], "")=""),
       "INCOMPLETE ADDRESS",
       _xlfn.CONCAT(
           _xlfn.XLOOKUP(B124, MasterTable[IRA Custodian], MasterTable[City], ""), ", ",
           _xlfn.XLOOKUP(B124, MasterTable[IRA Custodian], MasterTable[State], ""), " ",
           _xlfn.XLOOKUP(B124, MasterTable[IRA Custodian], MasterTable[Zip], "")
       )
   )
)</f>
        <v>Empty Row</v>
      </c>
    </row>
    <row r="125" spans="1:10" x14ac:dyDescent="0.25">
      <c r="A125" t="str">
        <f>IF(D125="Empty Row", "Empty Row",
   _xlfn.LET(
       _xlpm.lookupResult, _xlfn.XLOOKUP(D125, RawDataTable[Account Name and Number], RawDataTable[Entity], "RAW DATA MISSING"),
       IF(ISBLANK(_xlpm.lookupResult), "RAW DATA MISSING", _xlpm.lookupResult)
   )
)</f>
        <v>Empty Row</v>
      </c>
      <c r="B125" t="str">
        <f>IF(D125="Empty Row", "Empty Row",
   _xlfn.LET(
       _xlpm.rawDataLookup, _xlfn.XLOOKUP(D125,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25" s="56" t="str" cm="1">
        <f t="array" ref="C125">IF(D125="Empty Row", "Empty Row",
   IF(COUNTIF('Name Mapping'!H:AD, D125) &gt; 0,
      INDEX('Name Mapping'!F:F, MATCH(TRUE, MMULT(--('Name Mapping'!H:AD=D125), TRANSPOSE(COLUMN('Name Mapping'!H:AD)^0)) &gt; 0, 0)),
      "")
)</f>
        <v>Empty Row</v>
      </c>
      <c r="D125" t="str">
        <f>IF(RawDataTable[[#This Row],[Account Name and Number]]&lt;&gt;"", RawDataTable[[#This Row],[Account Name and Number]], "Empty Row")</f>
        <v>Empty Row</v>
      </c>
      <c r="E125" s="28" t="str">
        <f>IF(D125="Empty Row", "Empty Row",
   _xlfn.LET(
       _xlpm.lookupResult, _xlfn.XLOOKUP(D125, RawDataTable[Account Name and Number], RawDataTable[Investment Date], "MISSING VALUE"),
       IF(ISNUMBER(_xlpm.lookupResult), _xlpm.lookupResult, "INVALID VALUE")
   )
)</f>
        <v>Empty Row</v>
      </c>
      <c r="F125" s="29" t="str">
        <f>IF(D125="Empty Row", "Empty Row",
   _xlfn.LET(
       _xlpm.lookupResult, _xlfn.XLOOKUP(D125, RawDataTable[Account Name and Number], RawDataTable[Investment Amount], "MISSING VALUE"),
       IF(ISNUMBER(_xlpm.lookupResult), _xlpm.lookupResult, "INVALID VALUE")
   )
)</f>
        <v>Empty Row</v>
      </c>
      <c r="G125" s="28" t="str">
        <f t="shared" ca="1" si="1"/>
        <v>Empty Row</v>
      </c>
      <c r="H125" s="29" t="str">
        <f>IF(D125="Empty Row", "Empty Row",
   _xlfn.LET(
       _xlpm.lookupResult, _xlfn.XLOOKUP(D125, RawDataTable[Account Name and Number], RawDataTable[Valuation Amount], "MISSING VALUE"),
       IF(ISNUMBER(_xlpm.lookupResult), _xlpm.lookupResult, "INVALID VALUE")
   )
)</f>
        <v>Empty Row</v>
      </c>
      <c r="I125" s="2" t="str">
        <f>IF(D125="Empty Row", "Empty Row", IF(_xlfn.XLOOKUP(B125, MasterTable[IRA Custodian], MasterTable[Address], "")="", "NO STREET NAME FOUND", _xlfn.XLOOKUP(B125, MasterTable[IRA Custodian], MasterTable[Address], "")))</f>
        <v>Empty Row</v>
      </c>
      <c r="J125" s="2" t="str">
        <f>IF(D125="Empty Row", "Empty Row",
   IF(OR(
       _xlfn.XLOOKUP(B125, MasterTable[IRA Custodian], MasterTable[City], "")="",
       _xlfn.XLOOKUP(B125, MasterTable[IRA Custodian], MasterTable[State], "")="",
       _xlfn.XLOOKUP(B125, MasterTable[IRA Custodian], MasterTable[Zip], "")=""),
       "INCOMPLETE ADDRESS",
       _xlfn.CONCAT(
           _xlfn.XLOOKUP(B125, MasterTable[IRA Custodian], MasterTable[City], ""), ", ",
           _xlfn.XLOOKUP(B125, MasterTable[IRA Custodian], MasterTable[State], ""), " ",
           _xlfn.XLOOKUP(B125, MasterTable[IRA Custodian], MasterTable[Zip], "")
       )
   )
)</f>
        <v>Empty Row</v>
      </c>
    </row>
    <row r="126" spans="1:10" x14ac:dyDescent="0.25">
      <c r="A126" t="str">
        <f>IF(D126="Empty Row", "Empty Row",
   _xlfn.LET(
       _xlpm.lookupResult, _xlfn.XLOOKUP(D126, RawDataTable[Account Name and Number], RawDataTable[Entity], "RAW DATA MISSING"),
       IF(ISBLANK(_xlpm.lookupResult), "RAW DATA MISSING", _xlpm.lookupResult)
   )
)</f>
        <v>Empty Row</v>
      </c>
      <c r="B126" t="str">
        <f>IF(D126="Empty Row", "Empty Row",
   _xlfn.LET(
       _xlpm.rawDataLookup, _xlfn.XLOOKUP(D126,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26" s="56" t="str" cm="1">
        <f t="array" ref="C126">IF(D126="Empty Row", "Empty Row",
   IF(COUNTIF('Name Mapping'!H:AD, D126) &gt; 0,
      INDEX('Name Mapping'!F:F, MATCH(TRUE, MMULT(--('Name Mapping'!H:AD=D126), TRANSPOSE(COLUMN('Name Mapping'!H:AD)^0)) &gt; 0, 0)),
      "")
)</f>
        <v>Empty Row</v>
      </c>
      <c r="D126" t="str">
        <f>IF(RawDataTable[[#This Row],[Account Name and Number]]&lt;&gt;"", RawDataTable[[#This Row],[Account Name and Number]], "Empty Row")</f>
        <v>Empty Row</v>
      </c>
      <c r="E126" s="28" t="str">
        <f>IF(D126="Empty Row", "Empty Row",
   _xlfn.LET(
       _xlpm.lookupResult, _xlfn.XLOOKUP(D126, RawDataTable[Account Name and Number], RawDataTable[Investment Date], "MISSING VALUE"),
       IF(ISNUMBER(_xlpm.lookupResult), _xlpm.lookupResult, "INVALID VALUE")
   )
)</f>
        <v>Empty Row</v>
      </c>
      <c r="F126" s="29" t="str">
        <f>IF(D126="Empty Row", "Empty Row",
   _xlfn.LET(
       _xlpm.lookupResult, _xlfn.XLOOKUP(D126, RawDataTable[Account Name and Number], RawDataTable[Investment Amount], "MISSING VALUE"),
       IF(ISNUMBER(_xlpm.lookupResult), _xlpm.lookupResult, "INVALID VALUE")
   )
)</f>
        <v>Empty Row</v>
      </c>
      <c r="G126" s="28" t="str">
        <f t="shared" ca="1" si="1"/>
        <v>Empty Row</v>
      </c>
      <c r="H126" s="29" t="str">
        <f>IF(D126="Empty Row", "Empty Row",
   _xlfn.LET(
       _xlpm.lookupResult, _xlfn.XLOOKUP(D126, RawDataTable[Account Name and Number], RawDataTable[Valuation Amount], "MISSING VALUE"),
       IF(ISNUMBER(_xlpm.lookupResult), _xlpm.lookupResult, "INVALID VALUE")
   )
)</f>
        <v>Empty Row</v>
      </c>
      <c r="I126" s="2" t="str">
        <f>IF(D126="Empty Row", "Empty Row", IF(_xlfn.XLOOKUP(B126, MasterTable[IRA Custodian], MasterTable[Address], "")="", "NO STREET NAME FOUND", _xlfn.XLOOKUP(B126, MasterTable[IRA Custodian], MasterTable[Address], "")))</f>
        <v>Empty Row</v>
      </c>
      <c r="J126" s="2" t="str">
        <f>IF(D126="Empty Row", "Empty Row",
   IF(OR(
       _xlfn.XLOOKUP(B126, MasterTable[IRA Custodian], MasterTable[City], "")="",
       _xlfn.XLOOKUP(B126, MasterTable[IRA Custodian], MasterTable[State], "")="",
       _xlfn.XLOOKUP(B126, MasterTable[IRA Custodian], MasterTable[Zip], "")=""),
       "INCOMPLETE ADDRESS",
       _xlfn.CONCAT(
           _xlfn.XLOOKUP(B126, MasterTable[IRA Custodian], MasterTable[City], ""), ", ",
           _xlfn.XLOOKUP(B126, MasterTable[IRA Custodian], MasterTable[State], ""), " ",
           _xlfn.XLOOKUP(B126, MasterTable[IRA Custodian], MasterTable[Zip], "")
       )
   )
)</f>
        <v>Empty Row</v>
      </c>
    </row>
    <row r="127" spans="1:10" x14ac:dyDescent="0.25">
      <c r="A127" t="str">
        <f>IF(D127="Empty Row", "Empty Row",
   _xlfn.LET(
       _xlpm.lookupResult, _xlfn.XLOOKUP(D127, RawDataTable[Account Name and Number], RawDataTable[Entity], "RAW DATA MISSING"),
       IF(ISBLANK(_xlpm.lookupResult), "RAW DATA MISSING", _xlpm.lookupResult)
   )
)</f>
        <v>Empty Row</v>
      </c>
      <c r="B127" t="str">
        <f>IF(D127="Empty Row", "Empty Row",
   _xlfn.LET(
       _xlpm.rawDataLookup, _xlfn.XLOOKUP(D127,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27" s="56" t="str" cm="1">
        <f t="array" ref="C127">IF(D127="Empty Row", "Empty Row",
   IF(COUNTIF('Name Mapping'!H:AD, D127) &gt; 0,
      INDEX('Name Mapping'!F:F, MATCH(TRUE, MMULT(--('Name Mapping'!H:AD=D127), TRANSPOSE(COLUMN('Name Mapping'!H:AD)^0)) &gt; 0, 0)),
      "")
)</f>
        <v>Empty Row</v>
      </c>
      <c r="D127" t="str">
        <f>IF(RawDataTable[[#This Row],[Account Name and Number]]&lt;&gt;"", RawDataTable[[#This Row],[Account Name and Number]], "Empty Row")</f>
        <v>Empty Row</v>
      </c>
      <c r="E127" s="28" t="str">
        <f>IF(D127="Empty Row", "Empty Row",
   _xlfn.LET(
       _xlpm.lookupResult, _xlfn.XLOOKUP(D127, RawDataTable[Account Name and Number], RawDataTable[Investment Date], "MISSING VALUE"),
       IF(ISNUMBER(_xlpm.lookupResult), _xlpm.lookupResult, "INVALID VALUE")
   )
)</f>
        <v>Empty Row</v>
      </c>
      <c r="F127" s="29" t="str">
        <f>IF(D127="Empty Row", "Empty Row",
   _xlfn.LET(
       _xlpm.lookupResult, _xlfn.XLOOKUP(D127, RawDataTable[Account Name and Number], RawDataTable[Investment Amount], "MISSING VALUE"),
       IF(ISNUMBER(_xlpm.lookupResult), _xlpm.lookupResult, "INVALID VALUE")
   )
)</f>
        <v>Empty Row</v>
      </c>
      <c r="G127" s="28" t="str">
        <f t="shared" ca="1" si="1"/>
        <v>Empty Row</v>
      </c>
      <c r="H127" s="29" t="str">
        <f>IF(D127="Empty Row", "Empty Row",
   _xlfn.LET(
       _xlpm.lookupResult, _xlfn.XLOOKUP(D127, RawDataTable[Account Name and Number], RawDataTable[Valuation Amount], "MISSING VALUE"),
       IF(ISNUMBER(_xlpm.lookupResult), _xlpm.lookupResult, "INVALID VALUE")
   )
)</f>
        <v>Empty Row</v>
      </c>
      <c r="I127" s="2" t="str">
        <f>IF(D127="Empty Row", "Empty Row", IF(_xlfn.XLOOKUP(B127, MasterTable[IRA Custodian], MasterTable[Address], "")="", "NO STREET NAME FOUND", _xlfn.XLOOKUP(B127, MasterTable[IRA Custodian], MasterTable[Address], "")))</f>
        <v>Empty Row</v>
      </c>
      <c r="J127" s="2" t="str">
        <f>IF(D127="Empty Row", "Empty Row",
   IF(OR(
       _xlfn.XLOOKUP(B127, MasterTable[IRA Custodian], MasterTable[City], "")="",
       _xlfn.XLOOKUP(B127, MasterTable[IRA Custodian], MasterTable[State], "")="",
       _xlfn.XLOOKUP(B127, MasterTable[IRA Custodian], MasterTable[Zip], "")=""),
       "INCOMPLETE ADDRESS",
       _xlfn.CONCAT(
           _xlfn.XLOOKUP(B127, MasterTable[IRA Custodian], MasterTable[City], ""), ", ",
           _xlfn.XLOOKUP(B127, MasterTable[IRA Custodian], MasterTable[State], ""), " ",
           _xlfn.XLOOKUP(B127, MasterTable[IRA Custodian], MasterTable[Zip], "")
       )
   )
)</f>
        <v>Empty Row</v>
      </c>
    </row>
    <row r="128" spans="1:10" x14ac:dyDescent="0.25">
      <c r="A128" t="str">
        <f>IF(D128="Empty Row", "Empty Row",
   _xlfn.LET(
       _xlpm.lookupResult, _xlfn.XLOOKUP(D128, RawDataTable[Account Name and Number], RawDataTable[Entity], "RAW DATA MISSING"),
       IF(ISBLANK(_xlpm.lookupResult), "RAW DATA MISSING", _xlpm.lookupResult)
   )
)</f>
        <v>Empty Row</v>
      </c>
      <c r="B128" t="str">
        <f>IF(D128="Empty Row", "Empty Row",
   _xlfn.LET(
       _xlpm.rawDataLookup, _xlfn.XLOOKUP(D128,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28" s="56" t="str" cm="1">
        <f t="array" ref="C128">IF(D128="Empty Row", "Empty Row",
   IF(COUNTIF('Name Mapping'!H:AD, D128) &gt; 0,
      INDEX('Name Mapping'!F:F, MATCH(TRUE, MMULT(--('Name Mapping'!H:AD=D128), TRANSPOSE(COLUMN('Name Mapping'!H:AD)^0)) &gt; 0, 0)),
      "")
)</f>
        <v>Empty Row</v>
      </c>
      <c r="D128" t="str">
        <f>IF(RawDataTable[[#This Row],[Account Name and Number]]&lt;&gt;"", RawDataTable[[#This Row],[Account Name and Number]], "Empty Row")</f>
        <v>Empty Row</v>
      </c>
      <c r="E128" s="28" t="str">
        <f>IF(D128="Empty Row", "Empty Row",
   _xlfn.LET(
       _xlpm.lookupResult, _xlfn.XLOOKUP(D128, RawDataTable[Account Name and Number], RawDataTable[Investment Date], "MISSING VALUE"),
       IF(ISNUMBER(_xlpm.lookupResult), _xlpm.lookupResult, "INVALID VALUE")
   )
)</f>
        <v>Empty Row</v>
      </c>
      <c r="F128" s="29" t="str">
        <f>IF(D128="Empty Row", "Empty Row",
   _xlfn.LET(
       _xlpm.lookupResult, _xlfn.XLOOKUP(D128, RawDataTable[Account Name and Number], RawDataTable[Investment Amount], "MISSING VALUE"),
       IF(ISNUMBER(_xlpm.lookupResult), _xlpm.lookupResult, "INVALID VALUE")
   )
)</f>
        <v>Empty Row</v>
      </c>
      <c r="G128" s="28" t="str">
        <f t="shared" ca="1" si="1"/>
        <v>Empty Row</v>
      </c>
      <c r="H128" s="29" t="str">
        <f>IF(D128="Empty Row", "Empty Row",
   _xlfn.LET(
       _xlpm.lookupResult, _xlfn.XLOOKUP(D128, RawDataTable[Account Name and Number], RawDataTable[Valuation Amount], "MISSING VALUE"),
       IF(ISNUMBER(_xlpm.lookupResult), _xlpm.lookupResult, "INVALID VALUE")
   )
)</f>
        <v>Empty Row</v>
      </c>
      <c r="I128" s="2" t="str">
        <f>IF(D128="Empty Row", "Empty Row", IF(_xlfn.XLOOKUP(B128, MasterTable[IRA Custodian], MasterTable[Address], "")="", "NO STREET NAME FOUND", _xlfn.XLOOKUP(B128, MasterTable[IRA Custodian], MasterTable[Address], "")))</f>
        <v>Empty Row</v>
      </c>
      <c r="J128" s="2" t="str">
        <f>IF(D128="Empty Row", "Empty Row",
   IF(OR(
       _xlfn.XLOOKUP(B128, MasterTable[IRA Custodian], MasterTable[City], "")="",
       _xlfn.XLOOKUP(B128, MasterTable[IRA Custodian], MasterTable[State], "")="",
       _xlfn.XLOOKUP(B128, MasterTable[IRA Custodian], MasterTable[Zip], "")=""),
       "INCOMPLETE ADDRESS",
       _xlfn.CONCAT(
           _xlfn.XLOOKUP(B128, MasterTable[IRA Custodian], MasterTable[City], ""), ", ",
           _xlfn.XLOOKUP(B128, MasterTable[IRA Custodian], MasterTable[State], ""), " ",
           _xlfn.XLOOKUP(B128, MasterTable[IRA Custodian], MasterTable[Zip], "")
       )
   )
)</f>
        <v>Empty Row</v>
      </c>
    </row>
    <row r="129" spans="1:10" x14ac:dyDescent="0.25">
      <c r="A129" t="str">
        <f>IF(D129="Empty Row", "Empty Row",
   _xlfn.LET(
       _xlpm.lookupResult, _xlfn.XLOOKUP(D129, RawDataTable[Account Name and Number], RawDataTable[Entity], "RAW DATA MISSING"),
       IF(ISBLANK(_xlpm.lookupResult), "RAW DATA MISSING", _xlpm.lookupResult)
   )
)</f>
        <v>Empty Row</v>
      </c>
      <c r="B129" t="str">
        <f>IF(D129="Empty Row", "Empty Row",
   _xlfn.LET(
       _xlpm.rawDataLookup, _xlfn.XLOOKUP(D129,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29" s="56" t="str" cm="1">
        <f t="array" ref="C129">IF(D129="Empty Row", "Empty Row",
   IF(COUNTIF('Name Mapping'!H:AD, D129) &gt; 0,
      INDEX('Name Mapping'!F:F, MATCH(TRUE, MMULT(--('Name Mapping'!H:AD=D129), TRANSPOSE(COLUMN('Name Mapping'!H:AD)^0)) &gt; 0, 0)),
      "")
)</f>
        <v>Empty Row</v>
      </c>
      <c r="D129" t="str">
        <f>IF(RawDataTable[[#This Row],[Account Name and Number]]&lt;&gt;"", RawDataTable[[#This Row],[Account Name and Number]], "Empty Row")</f>
        <v>Empty Row</v>
      </c>
      <c r="E129" s="28" t="str">
        <f>IF(D129="Empty Row", "Empty Row",
   _xlfn.LET(
       _xlpm.lookupResult, _xlfn.XLOOKUP(D129, RawDataTable[Account Name and Number], RawDataTable[Investment Date], "MISSING VALUE"),
       IF(ISNUMBER(_xlpm.lookupResult), _xlpm.lookupResult, "INVALID VALUE")
   )
)</f>
        <v>Empty Row</v>
      </c>
      <c r="F129" s="29" t="str">
        <f>IF(D129="Empty Row", "Empty Row",
   _xlfn.LET(
       _xlpm.lookupResult, _xlfn.XLOOKUP(D129, RawDataTable[Account Name and Number], RawDataTable[Investment Amount], "MISSING VALUE"),
       IF(ISNUMBER(_xlpm.lookupResult), _xlpm.lookupResult, "INVALID VALUE")
   )
)</f>
        <v>Empty Row</v>
      </c>
      <c r="G129" s="28" t="str">
        <f t="shared" ca="1" si="1"/>
        <v>Empty Row</v>
      </c>
      <c r="H129" s="29" t="str">
        <f>IF(D129="Empty Row", "Empty Row",
   _xlfn.LET(
       _xlpm.lookupResult, _xlfn.XLOOKUP(D129, RawDataTable[Account Name and Number], RawDataTable[Valuation Amount], "MISSING VALUE"),
       IF(ISNUMBER(_xlpm.lookupResult), _xlpm.lookupResult, "INVALID VALUE")
   )
)</f>
        <v>Empty Row</v>
      </c>
      <c r="I129" s="2" t="str">
        <f>IF(D129="Empty Row", "Empty Row", IF(_xlfn.XLOOKUP(B129, MasterTable[IRA Custodian], MasterTable[Address], "")="", "NO STREET NAME FOUND", _xlfn.XLOOKUP(B129, MasterTable[IRA Custodian], MasterTable[Address], "")))</f>
        <v>Empty Row</v>
      </c>
      <c r="J129" s="2" t="str">
        <f>IF(D129="Empty Row", "Empty Row",
   IF(OR(
       _xlfn.XLOOKUP(B129, MasterTable[IRA Custodian], MasterTable[City], "")="",
       _xlfn.XLOOKUP(B129, MasterTable[IRA Custodian], MasterTable[State], "")="",
       _xlfn.XLOOKUP(B129, MasterTable[IRA Custodian], MasterTable[Zip], "")=""),
       "INCOMPLETE ADDRESS",
       _xlfn.CONCAT(
           _xlfn.XLOOKUP(B129, MasterTable[IRA Custodian], MasterTable[City], ""), ", ",
           _xlfn.XLOOKUP(B129, MasterTable[IRA Custodian], MasterTable[State], ""), " ",
           _xlfn.XLOOKUP(B129, MasterTable[IRA Custodian], MasterTable[Zip], "")
       )
   )
)</f>
        <v>Empty Row</v>
      </c>
    </row>
    <row r="130" spans="1:10" x14ac:dyDescent="0.25">
      <c r="A130" t="str">
        <f>IF(D130="Empty Row", "Empty Row",
   _xlfn.LET(
       _xlpm.lookupResult, _xlfn.XLOOKUP(D130, RawDataTable[Account Name and Number], RawDataTable[Entity], "RAW DATA MISSING"),
       IF(ISBLANK(_xlpm.lookupResult), "RAW DATA MISSING", _xlpm.lookupResult)
   )
)</f>
        <v>Empty Row</v>
      </c>
      <c r="B130" t="str">
        <f>IF(D130="Empty Row", "Empty Row",
   _xlfn.LET(
       _xlpm.rawDataLookup, _xlfn.XLOOKUP(D130,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30" s="56" t="str" cm="1">
        <f t="array" ref="C130">IF(D130="Empty Row", "Empty Row",
   IF(COUNTIF('Name Mapping'!H:AD, D130) &gt; 0,
      INDEX('Name Mapping'!F:F, MATCH(TRUE, MMULT(--('Name Mapping'!H:AD=D130), TRANSPOSE(COLUMN('Name Mapping'!H:AD)^0)) &gt; 0, 0)),
      "")
)</f>
        <v>Empty Row</v>
      </c>
      <c r="D130" t="str">
        <f>IF(RawDataTable[[#This Row],[Account Name and Number]]&lt;&gt;"", RawDataTable[[#This Row],[Account Name and Number]], "Empty Row")</f>
        <v>Empty Row</v>
      </c>
      <c r="E130" s="28" t="str">
        <f>IF(D130="Empty Row", "Empty Row",
   _xlfn.LET(
       _xlpm.lookupResult, _xlfn.XLOOKUP(D130, RawDataTable[Account Name and Number], RawDataTable[Investment Date], "MISSING VALUE"),
       IF(ISNUMBER(_xlpm.lookupResult), _xlpm.lookupResult, "INVALID VALUE")
   )
)</f>
        <v>Empty Row</v>
      </c>
      <c r="F130" s="29" t="str">
        <f>IF(D130="Empty Row", "Empty Row",
   _xlfn.LET(
       _xlpm.lookupResult, _xlfn.XLOOKUP(D130, RawDataTable[Account Name and Number], RawDataTable[Investment Amount], "MISSING VALUE"),
       IF(ISNUMBER(_xlpm.lookupResult), _xlpm.lookupResult, "INVALID VALUE")
   )
)</f>
        <v>Empty Row</v>
      </c>
      <c r="G130" s="28" t="str">
        <f t="shared" ca="1" si="1"/>
        <v>Empty Row</v>
      </c>
      <c r="H130" s="29" t="str">
        <f>IF(D130="Empty Row", "Empty Row",
   _xlfn.LET(
       _xlpm.lookupResult, _xlfn.XLOOKUP(D130, RawDataTable[Account Name and Number], RawDataTable[Valuation Amount], "MISSING VALUE"),
       IF(ISNUMBER(_xlpm.lookupResult), _xlpm.lookupResult, "INVALID VALUE")
   )
)</f>
        <v>Empty Row</v>
      </c>
      <c r="I130" s="2" t="str">
        <f>IF(D130="Empty Row", "Empty Row", IF(_xlfn.XLOOKUP(B130, MasterTable[IRA Custodian], MasterTable[Address], "")="", "NO STREET NAME FOUND", _xlfn.XLOOKUP(B130, MasterTable[IRA Custodian], MasterTable[Address], "")))</f>
        <v>Empty Row</v>
      </c>
      <c r="J130" s="2" t="str">
        <f>IF(D130="Empty Row", "Empty Row",
   IF(OR(
       _xlfn.XLOOKUP(B130, MasterTable[IRA Custodian], MasterTable[City], "")="",
       _xlfn.XLOOKUP(B130, MasterTable[IRA Custodian], MasterTable[State], "")="",
       _xlfn.XLOOKUP(B130, MasterTable[IRA Custodian], MasterTable[Zip], "")=""),
       "INCOMPLETE ADDRESS",
       _xlfn.CONCAT(
           _xlfn.XLOOKUP(B130, MasterTable[IRA Custodian], MasterTable[City], ""), ", ",
           _xlfn.XLOOKUP(B130, MasterTable[IRA Custodian], MasterTable[State], ""), " ",
           _xlfn.XLOOKUP(B130, MasterTable[IRA Custodian], MasterTable[Zip], "")
       )
   )
)</f>
        <v>Empty Row</v>
      </c>
    </row>
    <row r="131" spans="1:10" x14ac:dyDescent="0.25">
      <c r="A131" t="str">
        <f>IF(D131="Empty Row", "Empty Row",
   _xlfn.LET(
       _xlpm.lookupResult, _xlfn.XLOOKUP(D131, RawDataTable[Account Name and Number], RawDataTable[Entity], "RAW DATA MISSING"),
       IF(ISBLANK(_xlpm.lookupResult), "RAW DATA MISSING", _xlpm.lookupResult)
   )
)</f>
        <v>Empty Row</v>
      </c>
      <c r="B131" t="str">
        <f>IF(D131="Empty Row", "Empty Row",
   _xlfn.LET(
       _xlpm.rawDataLookup, _xlfn.XLOOKUP(D131,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31" s="56" t="str" cm="1">
        <f t="array" ref="C131">IF(D131="Empty Row", "Empty Row",
   IF(COUNTIF('Name Mapping'!H:AD, D131) &gt; 0,
      INDEX('Name Mapping'!F:F, MATCH(TRUE, MMULT(--('Name Mapping'!H:AD=D131), TRANSPOSE(COLUMN('Name Mapping'!H:AD)^0)) &gt; 0, 0)),
      "")
)</f>
        <v>Empty Row</v>
      </c>
      <c r="D131" t="str">
        <f>IF(RawDataTable[[#This Row],[Account Name and Number]]&lt;&gt;"", RawDataTable[[#This Row],[Account Name and Number]], "Empty Row")</f>
        <v>Empty Row</v>
      </c>
      <c r="E131" s="28" t="str">
        <f>IF(D131="Empty Row", "Empty Row",
   _xlfn.LET(
       _xlpm.lookupResult, _xlfn.XLOOKUP(D131, RawDataTable[Account Name and Number], RawDataTable[Investment Date], "MISSING VALUE"),
       IF(ISNUMBER(_xlpm.lookupResult), _xlpm.lookupResult, "INVALID VALUE")
   )
)</f>
        <v>Empty Row</v>
      </c>
      <c r="F131" s="29" t="str">
        <f>IF(D131="Empty Row", "Empty Row",
   _xlfn.LET(
       _xlpm.lookupResult, _xlfn.XLOOKUP(D131, RawDataTable[Account Name and Number], RawDataTable[Investment Amount], "MISSING VALUE"),
       IF(ISNUMBER(_xlpm.lookupResult), _xlpm.lookupResult, "INVALID VALUE")
   )
)</f>
        <v>Empty Row</v>
      </c>
      <c r="G131" s="28" t="str">
        <f t="shared" ref="G131:G194" ca="1" si="2">IF(D131="Empty Row", "Empty Row",
   IF(ISNUMBER(TODAY()), TODAY(), "INVALID VALUE")
)</f>
        <v>Empty Row</v>
      </c>
      <c r="H131" s="29" t="str">
        <f>IF(D131="Empty Row", "Empty Row",
   _xlfn.LET(
       _xlpm.lookupResult, _xlfn.XLOOKUP(D131, RawDataTable[Account Name and Number], RawDataTable[Valuation Amount], "MISSING VALUE"),
       IF(ISNUMBER(_xlpm.lookupResult), _xlpm.lookupResult, "INVALID VALUE")
   )
)</f>
        <v>Empty Row</v>
      </c>
      <c r="I131" s="2" t="str">
        <f>IF(D131="Empty Row", "Empty Row", IF(_xlfn.XLOOKUP(B131, MasterTable[IRA Custodian], MasterTable[Address], "")="", "NO STREET NAME FOUND", _xlfn.XLOOKUP(B131, MasterTable[IRA Custodian], MasterTable[Address], "")))</f>
        <v>Empty Row</v>
      </c>
      <c r="J131" s="2" t="str">
        <f>IF(D131="Empty Row", "Empty Row",
   IF(OR(
       _xlfn.XLOOKUP(B131, MasterTable[IRA Custodian], MasterTable[City], "")="",
       _xlfn.XLOOKUP(B131, MasterTable[IRA Custodian], MasterTable[State], "")="",
       _xlfn.XLOOKUP(B131, MasterTable[IRA Custodian], MasterTable[Zip], "")=""),
       "INCOMPLETE ADDRESS",
       _xlfn.CONCAT(
           _xlfn.XLOOKUP(B131, MasterTable[IRA Custodian], MasterTable[City], ""), ", ",
           _xlfn.XLOOKUP(B131, MasterTable[IRA Custodian], MasterTable[State], ""), " ",
           _xlfn.XLOOKUP(B131, MasterTable[IRA Custodian], MasterTable[Zip], "")
       )
   )
)</f>
        <v>Empty Row</v>
      </c>
    </row>
    <row r="132" spans="1:10" x14ac:dyDescent="0.25">
      <c r="A132" t="str">
        <f>IF(D132="Empty Row", "Empty Row",
   _xlfn.LET(
       _xlpm.lookupResult, _xlfn.XLOOKUP(D132, RawDataTable[Account Name and Number], RawDataTable[Entity], "RAW DATA MISSING"),
       IF(ISBLANK(_xlpm.lookupResult), "RAW DATA MISSING", _xlpm.lookupResult)
   )
)</f>
        <v>Empty Row</v>
      </c>
      <c r="B132" t="str">
        <f>IF(D132="Empty Row", "Empty Row",
   _xlfn.LET(
       _xlpm.rawDataLookup, _xlfn.XLOOKUP(D132,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32" s="56" t="str" cm="1">
        <f t="array" ref="C132">IF(D132="Empty Row", "Empty Row",
   IF(COUNTIF('Name Mapping'!H:AD, D132) &gt; 0,
      INDEX('Name Mapping'!F:F, MATCH(TRUE, MMULT(--('Name Mapping'!H:AD=D132), TRANSPOSE(COLUMN('Name Mapping'!H:AD)^0)) &gt; 0, 0)),
      "")
)</f>
        <v>Empty Row</v>
      </c>
      <c r="D132" t="str">
        <f>IF(RawDataTable[[#This Row],[Account Name and Number]]&lt;&gt;"", RawDataTable[[#This Row],[Account Name and Number]], "Empty Row")</f>
        <v>Empty Row</v>
      </c>
      <c r="E132" s="28" t="str">
        <f>IF(D132="Empty Row", "Empty Row",
   _xlfn.LET(
       _xlpm.lookupResult, _xlfn.XLOOKUP(D132, RawDataTable[Account Name and Number], RawDataTable[Investment Date], "MISSING VALUE"),
       IF(ISNUMBER(_xlpm.lookupResult), _xlpm.lookupResult, "INVALID VALUE")
   )
)</f>
        <v>Empty Row</v>
      </c>
      <c r="F132" s="29" t="str">
        <f>IF(D132="Empty Row", "Empty Row",
   _xlfn.LET(
       _xlpm.lookupResult, _xlfn.XLOOKUP(D132, RawDataTable[Account Name and Number], RawDataTable[Investment Amount], "MISSING VALUE"),
       IF(ISNUMBER(_xlpm.lookupResult), _xlpm.lookupResult, "INVALID VALUE")
   )
)</f>
        <v>Empty Row</v>
      </c>
      <c r="G132" s="28" t="str">
        <f t="shared" ca="1" si="2"/>
        <v>Empty Row</v>
      </c>
      <c r="H132" s="29" t="str">
        <f>IF(D132="Empty Row", "Empty Row",
   _xlfn.LET(
       _xlpm.lookupResult, _xlfn.XLOOKUP(D132, RawDataTable[Account Name and Number], RawDataTable[Valuation Amount], "MISSING VALUE"),
       IF(ISNUMBER(_xlpm.lookupResult), _xlpm.lookupResult, "INVALID VALUE")
   )
)</f>
        <v>Empty Row</v>
      </c>
      <c r="I132" s="2" t="str">
        <f>IF(D132="Empty Row", "Empty Row", IF(_xlfn.XLOOKUP(B132, MasterTable[IRA Custodian], MasterTable[Address], "")="", "NO STREET NAME FOUND", _xlfn.XLOOKUP(B132, MasterTable[IRA Custodian], MasterTable[Address], "")))</f>
        <v>Empty Row</v>
      </c>
      <c r="J132" s="2" t="str">
        <f>IF(D132="Empty Row", "Empty Row",
   IF(OR(
       _xlfn.XLOOKUP(B132, MasterTable[IRA Custodian], MasterTable[City], "")="",
       _xlfn.XLOOKUP(B132, MasterTable[IRA Custodian], MasterTable[State], "")="",
       _xlfn.XLOOKUP(B132, MasterTable[IRA Custodian], MasterTable[Zip], "")=""),
       "INCOMPLETE ADDRESS",
       _xlfn.CONCAT(
           _xlfn.XLOOKUP(B132, MasterTable[IRA Custodian], MasterTable[City], ""), ", ",
           _xlfn.XLOOKUP(B132, MasterTable[IRA Custodian], MasterTable[State], ""), " ",
           _xlfn.XLOOKUP(B132, MasterTable[IRA Custodian], MasterTable[Zip], "")
       )
   )
)</f>
        <v>Empty Row</v>
      </c>
    </row>
    <row r="133" spans="1:10" x14ac:dyDescent="0.25">
      <c r="A133" t="str">
        <f>IF(D133="Empty Row", "Empty Row",
   _xlfn.LET(
       _xlpm.lookupResult, _xlfn.XLOOKUP(D133, RawDataTable[Account Name and Number], RawDataTable[Entity], "RAW DATA MISSING"),
       IF(ISBLANK(_xlpm.lookupResult), "RAW DATA MISSING", _xlpm.lookupResult)
   )
)</f>
        <v>Empty Row</v>
      </c>
      <c r="B133" t="str">
        <f>IF(D133="Empty Row", "Empty Row",
   _xlfn.LET(
       _xlpm.rawDataLookup, _xlfn.XLOOKUP(D133,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33" s="56" t="str" cm="1">
        <f t="array" ref="C133">IF(D133="Empty Row", "Empty Row",
   IF(COUNTIF('Name Mapping'!H:AD, D133) &gt; 0,
      INDEX('Name Mapping'!F:F, MATCH(TRUE, MMULT(--('Name Mapping'!H:AD=D133), TRANSPOSE(COLUMN('Name Mapping'!H:AD)^0)) &gt; 0, 0)),
      "")
)</f>
        <v>Empty Row</v>
      </c>
      <c r="D133" t="str">
        <f>IF(RawDataTable[[#This Row],[Account Name and Number]]&lt;&gt;"", RawDataTable[[#This Row],[Account Name and Number]], "Empty Row")</f>
        <v>Empty Row</v>
      </c>
      <c r="E133" s="28" t="str">
        <f>IF(D133="Empty Row", "Empty Row",
   _xlfn.LET(
       _xlpm.lookupResult, _xlfn.XLOOKUP(D133, RawDataTable[Account Name and Number], RawDataTable[Investment Date], "MISSING VALUE"),
       IF(ISNUMBER(_xlpm.lookupResult), _xlpm.lookupResult, "INVALID VALUE")
   )
)</f>
        <v>Empty Row</v>
      </c>
      <c r="F133" s="29" t="str">
        <f>IF(D133="Empty Row", "Empty Row",
   _xlfn.LET(
       _xlpm.lookupResult, _xlfn.XLOOKUP(D133, RawDataTable[Account Name and Number], RawDataTable[Investment Amount], "MISSING VALUE"),
       IF(ISNUMBER(_xlpm.lookupResult), _xlpm.lookupResult, "INVALID VALUE")
   )
)</f>
        <v>Empty Row</v>
      </c>
      <c r="G133" s="28" t="str">
        <f t="shared" ca="1" si="2"/>
        <v>Empty Row</v>
      </c>
      <c r="H133" s="29" t="str">
        <f>IF(D133="Empty Row", "Empty Row",
   _xlfn.LET(
       _xlpm.lookupResult, _xlfn.XLOOKUP(D133, RawDataTable[Account Name and Number], RawDataTable[Valuation Amount], "MISSING VALUE"),
       IF(ISNUMBER(_xlpm.lookupResult), _xlpm.lookupResult, "INVALID VALUE")
   )
)</f>
        <v>Empty Row</v>
      </c>
      <c r="I133" s="2" t="str">
        <f>IF(D133="Empty Row", "Empty Row", IF(_xlfn.XLOOKUP(B133, MasterTable[IRA Custodian], MasterTable[Address], "")="", "NO STREET NAME FOUND", _xlfn.XLOOKUP(B133, MasterTable[IRA Custodian], MasterTable[Address], "")))</f>
        <v>Empty Row</v>
      </c>
      <c r="J133" s="2" t="str">
        <f>IF(D133="Empty Row", "Empty Row",
   IF(OR(
       _xlfn.XLOOKUP(B133, MasterTable[IRA Custodian], MasterTable[City], "")="",
       _xlfn.XLOOKUP(B133, MasterTable[IRA Custodian], MasterTable[State], "")="",
       _xlfn.XLOOKUP(B133, MasterTable[IRA Custodian], MasterTable[Zip], "")=""),
       "INCOMPLETE ADDRESS",
       _xlfn.CONCAT(
           _xlfn.XLOOKUP(B133, MasterTable[IRA Custodian], MasterTable[City], ""), ", ",
           _xlfn.XLOOKUP(B133, MasterTable[IRA Custodian], MasterTable[State], ""), " ",
           _xlfn.XLOOKUP(B133, MasterTable[IRA Custodian], MasterTable[Zip], "")
       )
   )
)</f>
        <v>Empty Row</v>
      </c>
    </row>
    <row r="134" spans="1:10" x14ac:dyDescent="0.25">
      <c r="A134" t="str">
        <f>IF(D134="Empty Row", "Empty Row",
   _xlfn.LET(
       _xlpm.lookupResult, _xlfn.XLOOKUP(D134, RawDataTable[Account Name and Number], RawDataTable[Entity], "RAW DATA MISSING"),
       IF(ISBLANK(_xlpm.lookupResult), "RAW DATA MISSING", _xlpm.lookupResult)
   )
)</f>
        <v>Empty Row</v>
      </c>
      <c r="B134" t="str">
        <f>IF(D134="Empty Row", "Empty Row",
   _xlfn.LET(
       _xlpm.rawDataLookup, _xlfn.XLOOKUP(D134,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34" s="56" t="str" cm="1">
        <f t="array" ref="C134">IF(D134="Empty Row", "Empty Row",
   IF(COUNTIF('Name Mapping'!H:AD, D134) &gt; 0,
      INDEX('Name Mapping'!F:F, MATCH(TRUE, MMULT(--('Name Mapping'!H:AD=D134), TRANSPOSE(COLUMN('Name Mapping'!H:AD)^0)) &gt; 0, 0)),
      "")
)</f>
        <v>Empty Row</v>
      </c>
      <c r="D134" t="str">
        <f>IF(RawDataTable[[#This Row],[Account Name and Number]]&lt;&gt;"", RawDataTable[[#This Row],[Account Name and Number]], "Empty Row")</f>
        <v>Empty Row</v>
      </c>
      <c r="E134" s="28" t="str">
        <f>IF(D134="Empty Row", "Empty Row",
   _xlfn.LET(
       _xlpm.lookupResult, _xlfn.XLOOKUP(D134, RawDataTable[Account Name and Number], RawDataTable[Investment Date], "MISSING VALUE"),
       IF(ISNUMBER(_xlpm.lookupResult), _xlpm.lookupResult, "INVALID VALUE")
   )
)</f>
        <v>Empty Row</v>
      </c>
      <c r="F134" s="29" t="str">
        <f>IF(D134="Empty Row", "Empty Row",
   _xlfn.LET(
       _xlpm.lookupResult, _xlfn.XLOOKUP(D134, RawDataTable[Account Name and Number], RawDataTable[Investment Amount], "MISSING VALUE"),
       IF(ISNUMBER(_xlpm.lookupResult), _xlpm.lookupResult, "INVALID VALUE")
   )
)</f>
        <v>Empty Row</v>
      </c>
      <c r="G134" s="28" t="str">
        <f t="shared" ca="1" si="2"/>
        <v>Empty Row</v>
      </c>
      <c r="H134" s="29" t="str">
        <f>IF(D134="Empty Row", "Empty Row",
   _xlfn.LET(
       _xlpm.lookupResult, _xlfn.XLOOKUP(D134, RawDataTable[Account Name and Number], RawDataTable[Valuation Amount], "MISSING VALUE"),
       IF(ISNUMBER(_xlpm.lookupResult), _xlpm.lookupResult, "INVALID VALUE")
   )
)</f>
        <v>Empty Row</v>
      </c>
      <c r="I134" s="2" t="str">
        <f>IF(D134="Empty Row", "Empty Row", IF(_xlfn.XLOOKUP(B134, MasterTable[IRA Custodian], MasterTable[Address], "")="", "NO STREET NAME FOUND", _xlfn.XLOOKUP(B134, MasterTable[IRA Custodian], MasterTable[Address], "")))</f>
        <v>Empty Row</v>
      </c>
      <c r="J134" s="2" t="str">
        <f>IF(D134="Empty Row", "Empty Row",
   IF(OR(
       _xlfn.XLOOKUP(B134, MasterTable[IRA Custodian], MasterTable[City], "")="",
       _xlfn.XLOOKUP(B134, MasterTable[IRA Custodian], MasterTable[State], "")="",
       _xlfn.XLOOKUP(B134, MasterTable[IRA Custodian], MasterTable[Zip], "")=""),
       "INCOMPLETE ADDRESS",
       _xlfn.CONCAT(
           _xlfn.XLOOKUP(B134, MasterTable[IRA Custodian], MasterTable[City], ""), ", ",
           _xlfn.XLOOKUP(B134, MasterTable[IRA Custodian], MasterTable[State], ""), " ",
           _xlfn.XLOOKUP(B134, MasterTable[IRA Custodian], MasterTable[Zip], "")
       )
   )
)</f>
        <v>Empty Row</v>
      </c>
    </row>
    <row r="135" spans="1:10" x14ac:dyDescent="0.25">
      <c r="A135" t="str">
        <f>IF(D135="Empty Row", "Empty Row",
   _xlfn.LET(
       _xlpm.lookupResult, _xlfn.XLOOKUP(D135, RawDataTable[Account Name and Number], RawDataTable[Entity], "RAW DATA MISSING"),
       IF(ISBLANK(_xlpm.lookupResult), "RAW DATA MISSING", _xlpm.lookupResult)
   )
)</f>
        <v>Empty Row</v>
      </c>
      <c r="B135" t="str">
        <f>IF(D135="Empty Row", "Empty Row",
   _xlfn.LET(
       _xlpm.rawDataLookup, _xlfn.XLOOKUP(D135,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35" s="56" t="str" cm="1">
        <f t="array" ref="C135">IF(D135="Empty Row", "Empty Row",
   IF(COUNTIF('Name Mapping'!H:AD, D135) &gt; 0,
      INDEX('Name Mapping'!F:F, MATCH(TRUE, MMULT(--('Name Mapping'!H:AD=D135), TRANSPOSE(COLUMN('Name Mapping'!H:AD)^0)) &gt; 0, 0)),
      "")
)</f>
        <v>Empty Row</v>
      </c>
      <c r="D135" t="str">
        <f>IF(RawDataTable[[#This Row],[Account Name and Number]]&lt;&gt;"", RawDataTable[[#This Row],[Account Name and Number]], "Empty Row")</f>
        <v>Empty Row</v>
      </c>
      <c r="E135" s="28" t="str">
        <f>IF(D135="Empty Row", "Empty Row",
   _xlfn.LET(
       _xlpm.lookupResult, _xlfn.XLOOKUP(D135, RawDataTable[Account Name and Number], RawDataTable[Investment Date], "MISSING VALUE"),
       IF(ISNUMBER(_xlpm.lookupResult), _xlpm.lookupResult, "INVALID VALUE")
   )
)</f>
        <v>Empty Row</v>
      </c>
      <c r="F135" s="29" t="str">
        <f>IF(D135="Empty Row", "Empty Row",
   _xlfn.LET(
       _xlpm.lookupResult, _xlfn.XLOOKUP(D135, RawDataTable[Account Name and Number], RawDataTable[Investment Amount], "MISSING VALUE"),
       IF(ISNUMBER(_xlpm.lookupResult), _xlpm.lookupResult, "INVALID VALUE")
   )
)</f>
        <v>Empty Row</v>
      </c>
      <c r="G135" s="28" t="str">
        <f t="shared" ca="1" si="2"/>
        <v>Empty Row</v>
      </c>
      <c r="H135" s="29" t="str">
        <f>IF(D135="Empty Row", "Empty Row",
   _xlfn.LET(
       _xlpm.lookupResult, _xlfn.XLOOKUP(D135, RawDataTable[Account Name and Number], RawDataTable[Valuation Amount], "MISSING VALUE"),
       IF(ISNUMBER(_xlpm.lookupResult), _xlpm.lookupResult, "INVALID VALUE")
   )
)</f>
        <v>Empty Row</v>
      </c>
      <c r="I135" s="2" t="str">
        <f>IF(D135="Empty Row", "Empty Row", IF(_xlfn.XLOOKUP(B135, MasterTable[IRA Custodian], MasterTable[Address], "")="", "NO STREET NAME FOUND", _xlfn.XLOOKUP(B135, MasterTable[IRA Custodian], MasterTable[Address], "")))</f>
        <v>Empty Row</v>
      </c>
      <c r="J135" s="2" t="str">
        <f>IF(D135="Empty Row", "Empty Row",
   IF(OR(
       _xlfn.XLOOKUP(B135, MasterTable[IRA Custodian], MasterTable[City], "")="",
       _xlfn.XLOOKUP(B135, MasterTable[IRA Custodian], MasterTable[State], "")="",
       _xlfn.XLOOKUP(B135, MasterTable[IRA Custodian], MasterTable[Zip], "")=""),
       "INCOMPLETE ADDRESS",
       _xlfn.CONCAT(
           _xlfn.XLOOKUP(B135, MasterTable[IRA Custodian], MasterTable[City], ""), ", ",
           _xlfn.XLOOKUP(B135, MasterTable[IRA Custodian], MasterTable[State], ""), " ",
           _xlfn.XLOOKUP(B135, MasterTable[IRA Custodian], MasterTable[Zip], "")
       )
   )
)</f>
        <v>Empty Row</v>
      </c>
    </row>
    <row r="136" spans="1:10" x14ac:dyDescent="0.25">
      <c r="A136" t="str">
        <f>IF(D136="Empty Row", "Empty Row",
   _xlfn.LET(
       _xlpm.lookupResult, _xlfn.XLOOKUP(D136, RawDataTable[Account Name and Number], RawDataTable[Entity], "RAW DATA MISSING"),
       IF(ISBLANK(_xlpm.lookupResult), "RAW DATA MISSING", _xlpm.lookupResult)
   )
)</f>
        <v>Empty Row</v>
      </c>
      <c r="B136" t="str">
        <f>IF(D136="Empty Row", "Empty Row",
   _xlfn.LET(
       _xlpm.rawDataLookup, _xlfn.XLOOKUP(D136,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36" s="56" t="str" cm="1">
        <f t="array" ref="C136">IF(D136="Empty Row", "Empty Row",
   IF(COUNTIF('Name Mapping'!H:AD, D136) &gt; 0,
      INDEX('Name Mapping'!F:F, MATCH(TRUE, MMULT(--('Name Mapping'!H:AD=D136), TRANSPOSE(COLUMN('Name Mapping'!H:AD)^0)) &gt; 0, 0)),
      "")
)</f>
        <v>Empty Row</v>
      </c>
      <c r="D136" t="str">
        <f>IF(RawDataTable[[#This Row],[Account Name and Number]]&lt;&gt;"", RawDataTable[[#This Row],[Account Name and Number]], "Empty Row")</f>
        <v>Empty Row</v>
      </c>
      <c r="E136" s="28" t="str">
        <f>IF(D136="Empty Row", "Empty Row",
   _xlfn.LET(
       _xlpm.lookupResult, _xlfn.XLOOKUP(D136, RawDataTable[Account Name and Number], RawDataTable[Investment Date], "MISSING VALUE"),
       IF(ISNUMBER(_xlpm.lookupResult), _xlpm.lookupResult, "INVALID VALUE")
   )
)</f>
        <v>Empty Row</v>
      </c>
      <c r="F136" s="29" t="str">
        <f>IF(D136="Empty Row", "Empty Row",
   _xlfn.LET(
       _xlpm.lookupResult, _xlfn.XLOOKUP(D136, RawDataTable[Account Name and Number], RawDataTable[Investment Amount], "MISSING VALUE"),
       IF(ISNUMBER(_xlpm.lookupResult), _xlpm.lookupResult, "INVALID VALUE")
   )
)</f>
        <v>Empty Row</v>
      </c>
      <c r="G136" s="28" t="str">
        <f t="shared" ca="1" si="2"/>
        <v>Empty Row</v>
      </c>
      <c r="H136" s="29" t="str">
        <f>IF(D136="Empty Row", "Empty Row",
   _xlfn.LET(
       _xlpm.lookupResult, _xlfn.XLOOKUP(D136, RawDataTable[Account Name and Number], RawDataTable[Valuation Amount], "MISSING VALUE"),
       IF(ISNUMBER(_xlpm.lookupResult), _xlpm.lookupResult, "INVALID VALUE")
   )
)</f>
        <v>Empty Row</v>
      </c>
      <c r="I136" s="2" t="str">
        <f>IF(D136="Empty Row", "Empty Row", IF(_xlfn.XLOOKUP(B136, MasterTable[IRA Custodian], MasterTable[Address], "")="", "NO STREET NAME FOUND", _xlfn.XLOOKUP(B136, MasterTable[IRA Custodian], MasterTable[Address], "")))</f>
        <v>Empty Row</v>
      </c>
      <c r="J136" s="2" t="str">
        <f>IF(D136="Empty Row", "Empty Row",
   IF(OR(
       _xlfn.XLOOKUP(B136, MasterTable[IRA Custodian], MasterTable[City], "")="",
       _xlfn.XLOOKUP(B136, MasterTable[IRA Custodian], MasterTable[State], "")="",
       _xlfn.XLOOKUP(B136, MasterTable[IRA Custodian], MasterTable[Zip], "")=""),
       "INCOMPLETE ADDRESS",
       _xlfn.CONCAT(
           _xlfn.XLOOKUP(B136, MasterTable[IRA Custodian], MasterTable[City], ""), ", ",
           _xlfn.XLOOKUP(B136, MasterTable[IRA Custodian], MasterTable[State], ""), " ",
           _xlfn.XLOOKUP(B136, MasterTable[IRA Custodian], MasterTable[Zip], "")
       )
   )
)</f>
        <v>Empty Row</v>
      </c>
    </row>
    <row r="137" spans="1:10" x14ac:dyDescent="0.25">
      <c r="A137" t="str">
        <f>IF(D137="Empty Row", "Empty Row",
   _xlfn.LET(
       _xlpm.lookupResult, _xlfn.XLOOKUP(D137, RawDataTable[Account Name and Number], RawDataTable[Entity], "RAW DATA MISSING"),
       IF(ISBLANK(_xlpm.lookupResult), "RAW DATA MISSING", _xlpm.lookupResult)
   )
)</f>
        <v>Empty Row</v>
      </c>
      <c r="B137" t="str">
        <f>IF(D137="Empty Row", "Empty Row",
   _xlfn.LET(
       _xlpm.rawDataLookup, _xlfn.XLOOKUP(D137,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37" s="56" t="str" cm="1">
        <f t="array" ref="C137">IF(D137="Empty Row", "Empty Row",
   IF(COUNTIF('Name Mapping'!H:AD, D137) &gt; 0,
      INDEX('Name Mapping'!F:F, MATCH(TRUE, MMULT(--('Name Mapping'!H:AD=D137), TRANSPOSE(COLUMN('Name Mapping'!H:AD)^0)) &gt; 0, 0)),
      "")
)</f>
        <v>Empty Row</v>
      </c>
      <c r="D137" t="str">
        <f>IF(RawDataTable[[#This Row],[Account Name and Number]]&lt;&gt;"", RawDataTable[[#This Row],[Account Name and Number]], "Empty Row")</f>
        <v>Empty Row</v>
      </c>
      <c r="E137" s="28" t="str">
        <f>IF(D137="Empty Row", "Empty Row",
   _xlfn.LET(
       _xlpm.lookupResult, _xlfn.XLOOKUP(D137, RawDataTable[Account Name and Number], RawDataTable[Investment Date], "MISSING VALUE"),
       IF(ISNUMBER(_xlpm.lookupResult), _xlpm.lookupResult, "INVALID VALUE")
   )
)</f>
        <v>Empty Row</v>
      </c>
      <c r="F137" s="29" t="str">
        <f>IF(D137="Empty Row", "Empty Row",
   _xlfn.LET(
       _xlpm.lookupResult, _xlfn.XLOOKUP(D137, RawDataTable[Account Name and Number], RawDataTable[Investment Amount], "MISSING VALUE"),
       IF(ISNUMBER(_xlpm.lookupResult), _xlpm.lookupResult, "INVALID VALUE")
   )
)</f>
        <v>Empty Row</v>
      </c>
      <c r="G137" s="28" t="str">
        <f t="shared" ca="1" si="2"/>
        <v>Empty Row</v>
      </c>
      <c r="H137" s="29" t="str">
        <f>IF(D137="Empty Row", "Empty Row",
   _xlfn.LET(
       _xlpm.lookupResult, _xlfn.XLOOKUP(D137, RawDataTable[Account Name and Number], RawDataTable[Valuation Amount], "MISSING VALUE"),
       IF(ISNUMBER(_xlpm.lookupResult), _xlpm.lookupResult, "INVALID VALUE")
   )
)</f>
        <v>Empty Row</v>
      </c>
      <c r="I137" s="2" t="str">
        <f>IF(D137="Empty Row", "Empty Row", IF(_xlfn.XLOOKUP(B137, MasterTable[IRA Custodian], MasterTable[Address], "")="", "NO STREET NAME FOUND", _xlfn.XLOOKUP(B137, MasterTable[IRA Custodian], MasterTable[Address], "")))</f>
        <v>Empty Row</v>
      </c>
      <c r="J137" s="2" t="str">
        <f>IF(D137="Empty Row", "Empty Row",
   IF(OR(
       _xlfn.XLOOKUP(B137, MasterTable[IRA Custodian], MasterTable[City], "")="",
       _xlfn.XLOOKUP(B137, MasterTable[IRA Custodian], MasterTable[State], "")="",
       _xlfn.XLOOKUP(B137, MasterTable[IRA Custodian], MasterTable[Zip], "")=""),
       "INCOMPLETE ADDRESS",
       _xlfn.CONCAT(
           _xlfn.XLOOKUP(B137, MasterTable[IRA Custodian], MasterTable[City], ""), ", ",
           _xlfn.XLOOKUP(B137, MasterTable[IRA Custodian], MasterTable[State], ""), " ",
           _xlfn.XLOOKUP(B137, MasterTable[IRA Custodian], MasterTable[Zip], "")
       )
   )
)</f>
        <v>Empty Row</v>
      </c>
    </row>
    <row r="138" spans="1:10" x14ac:dyDescent="0.25">
      <c r="A138" t="str">
        <f>IF(D138="Empty Row", "Empty Row",
   _xlfn.LET(
       _xlpm.lookupResult, _xlfn.XLOOKUP(D138, RawDataTable[Account Name and Number], RawDataTable[Entity], "RAW DATA MISSING"),
       IF(ISBLANK(_xlpm.lookupResult), "RAW DATA MISSING", _xlpm.lookupResult)
   )
)</f>
        <v>Empty Row</v>
      </c>
      <c r="B138" t="str">
        <f>IF(D138="Empty Row", "Empty Row",
   _xlfn.LET(
       _xlpm.rawDataLookup, _xlfn.XLOOKUP(D138,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38" s="56" t="str" cm="1">
        <f t="array" ref="C138">IF(D138="Empty Row", "Empty Row",
   IF(COUNTIF('Name Mapping'!H:AD, D138) &gt; 0,
      INDEX('Name Mapping'!F:F, MATCH(TRUE, MMULT(--('Name Mapping'!H:AD=D138), TRANSPOSE(COLUMN('Name Mapping'!H:AD)^0)) &gt; 0, 0)),
      "")
)</f>
        <v>Empty Row</v>
      </c>
      <c r="D138" t="str">
        <f>IF(RawDataTable[[#This Row],[Account Name and Number]]&lt;&gt;"", RawDataTable[[#This Row],[Account Name and Number]], "Empty Row")</f>
        <v>Empty Row</v>
      </c>
      <c r="E138" s="28" t="str">
        <f>IF(D138="Empty Row", "Empty Row",
   _xlfn.LET(
       _xlpm.lookupResult, _xlfn.XLOOKUP(D138, RawDataTable[Account Name and Number], RawDataTable[Investment Date], "MISSING VALUE"),
       IF(ISNUMBER(_xlpm.lookupResult), _xlpm.lookupResult, "INVALID VALUE")
   )
)</f>
        <v>Empty Row</v>
      </c>
      <c r="F138" s="29" t="str">
        <f>IF(D138="Empty Row", "Empty Row",
   _xlfn.LET(
       _xlpm.lookupResult, _xlfn.XLOOKUP(D138, RawDataTable[Account Name and Number], RawDataTable[Investment Amount], "MISSING VALUE"),
       IF(ISNUMBER(_xlpm.lookupResult), _xlpm.lookupResult, "INVALID VALUE")
   )
)</f>
        <v>Empty Row</v>
      </c>
      <c r="G138" s="28" t="str">
        <f t="shared" ca="1" si="2"/>
        <v>Empty Row</v>
      </c>
      <c r="H138" s="29" t="str">
        <f>IF(D138="Empty Row", "Empty Row",
   _xlfn.LET(
       _xlpm.lookupResult, _xlfn.XLOOKUP(D138, RawDataTable[Account Name and Number], RawDataTable[Valuation Amount], "MISSING VALUE"),
       IF(ISNUMBER(_xlpm.lookupResult), _xlpm.lookupResult, "INVALID VALUE")
   )
)</f>
        <v>Empty Row</v>
      </c>
      <c r="I138" s="2" t="str">
        <f>IF(D138="Empty Row", "Empty Row", IF(_xlfn.XLOOKUP(B138, MasterTable[IRA Custodian], MasterTable[Address], "")="", "NO STREET NAME FOUND", _xlfn.XLOOKUP(B138, MasterTable[IRA Custodian], MasterTable[Address], "")))</f>
        <v>Empty Row</v>
      </c>
      <c r="J138" s="2" t="str">
        <f>IF(D138="Empty Row", "Empty Row",
   IF(OR(
       _xlfn.XLOOKUP(B138, MasterTable[IRA Custodian], MasterTable[City], "")="",
       _xlfn.XLOOKUP(B138, MasterTable[IRA Custodian], MasterTable[State], "")="",
       _xlfn.XLOOKUP(B138, MasterTable[IRA Custodian], MasterTable[Zip], "")=""),
       "INCOMPLETE ADDRESS",
       _xlfn.CONCAT(
           _xlfn.XLOOKUP(B138, MasterTable[IRA Custodian], MasterTable[City], ""), ", ",
           _xlfn.XLOOKUP(B138, MasterTable[IRA Custodian], MasterTable[State], ""), " ",
           _xlfn.XLOOKUP(B138, MasterTable[IRA Custodian], MasterTable[Zip], "")
       )
   )
)</f>
        <v>Empty Row</v>
      </c>
    </row>
    <row r="139" spans="1:10" x14ac:dyDescent="0.25">
      <c r="A139" t="str">
        <f>IF(D139="Empty Row", "Empty Row",
   _xlfn.LET(
       _xlpm.lookupResult, _xlfn.XLOOKUP(D139, RawDataTable[Account Name and Number], RawDataTable[Entity], "RAW DATA MISSING"),
       IF(ISBLANK(_xlpm.lookupResult), "RAW DATA MISSING", _xlpm.lookupResult)
   )
)</f>
        <v>Empty Row</v>
      </c>
      <c r="B139" t="str">
        <f>IF(D139="Empty Row", "Empty Row",
   _xlfn.LET(
       _xlpm.rawDataLookup, _xlfn.XLOOKUP(D139,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39" s="56" t="str" cm="1">
        <f t="array" ref="C139">IF(D139="Empty Row", "Empty Row",
   IF(COUNTIF('Name Mapping'!H:AD, D139) &gt; 0,
      INDEX('Name Mapping'!F:F, MATCH(TRUE, MMULT(--('Name Mapping'!H:AD=D139), TRANSPOSE(COLUMN('Name Mapping'!H:AD)^0)) &gt; 0, 0)),
      "")
)</f>
        <v>Empty Row</v>
      </c>
      <c r="D139" t="str">
        <f>IF(RawDataTable[[#This Row],[Account Name and Number]]&lt;&gt;"", RawDataTable[[#This Row],[Account Name and Number]], "Empty Row")</f>
        <v>Empty Row</v>
      </c>
      <c r="E139" s="28" t="str">
        <f>IF(D139="Empty Row", "Empty Row",
   _xlfn.LET(
       _xlpm.lookupResult, _xlfn.XLOOKUP(D139, RawDataTable[Account Name and Number], RawDataTable[Investment Date], "MISSING VALUE"),
       IF(ISNUMBER(_xlpm.lookupResult), _xlpm.lookupResult, "INVALID VALUE")
   )
)</f>
        <v>Empty Row</v>
      </c>
      <c r="F139" s="29" t="str">
        <f>IF(D139="Empty Row", "Empty Row",
   _xlfn.LET(
       _xlpm.lookupResult, _xlfn.XLOOKUP(D139, RawDataTable[Account Name and Number], RawDataTable[Investment Amount], "MISSING VALUE"),
       IF(ISNUMBER(_xlpm.lookupResult), _xlpm.lookupResult, "INVALID VALUE")
   )
)</f>
        <v>Empty Row</v>
      </c>
      <c r="G139" s="28" t="str">
        <f t="shared" ca="1" si="2"/>
        <v>Empty Row</v>
      </c>
      <c r="H139" s="29" t="str">
        <f>IF(D139="Empty Row", "Empty Row",
   _xlfn.LET(
       _xlpm.lookupResult, _xlfn.XLOOKUP(D139, RawDataTable[Account Name and Number], RawDataTable[Valuation Amount], "MISSING VALUE"),
       IF(ISNUMBER(_xlpm.lookupResult), _xlpm.lookupResult, "INVALID VALUE")
   )
)</f>
        <v>Empty Row</v>
      </c>
      <c r="I139" s="2" t="str">
        <f>IF(D139="Empty Row", "Empty Row", IF(_xlfn.XLOOKUP(B139, MasterTable[IRA Custodian], MasterTable[Address], "")="", "NO STREET NAME FOUND", _xlfn.XLOOKUP(B139, MasterTable[IRA Custodian], MasterTable[Address], "")))</f>
        <v>Empty Row</v>
      </c>
      <c r="J139" s="2" t="str">
        <f>IF(D139="Empty Row", "Empty Row",
   IF(OR(
       _xlfn.XLOOKUP(B139, MasterTable[IRA Custodian], MasterTable[City], "")="",
       _xlfn.XLOOKUP(B139, MasterTable[IRA Custodian], MasterTable[State], "")="",
       _xlfn.XLOOKUP(B139, MasterTable[IRA Custodian], MasterTable[Zip], "")=""),
       "INCOMPLETE ADDRESS",
       _xlfn.CONCAT(
           _xlfn.XLOOKUP(B139, MasterTable[IRA Custodian], MasterTable[City], ""), ", ",
           _xlfn.XLOOKUP(B139, MasterTable[IRA Custodian], MasterTable[State], ""), " ",
           _xlfn.XLOOKUP(B139, MasterTable[IRA Custodian], MasterTable[Zip], "")
       )
   )
)</f>
        <v>Empty Row</v>
      </c>
    </row>
    <row r="140" spans="1:10" x14ac:dyDescent="0.25">
      <c r="A140" t="str">
        <f>IF(D140="Empty Row", "Empty Row",
   _xlfn.LET(
       _xlpm.lookupResult, _xlfn.XLOOKUP(D140, RawDataTable[Account Name and Number], RawDataTable[Entity], "RAW DATA MISSING"),
       IF(ISBLANK(_xlpm.lookupResult), "RAW DATA MISSING", _xlpm.lookupResult)
   )
)</f>
        <v>Empty Row</v>
      </c>
      <c r="B140" t="str">
        <f>IF(D140="Empty Row", "Empty Row",
   _xlfn.LET(
       _xlpm.rawDataLookup, _xlfn.XLOOKUP(D140,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40" s="56" t="str" cm="1">
        <f t="array" ref="C140">IF(D140="Empty Row", "Empty Row",
   IF(COUNTIF('Name Mapping'!H:AD, D140) &gt; 0,
      INDEX('Name Mapping'!F:F, MATCH(TRUE, MMULT(--('Name Mapping'!H:AD=D140), TRANSPOSE(COLUMN('Name Mapping'!H:AD)^0)) &gt; 0, 0)),
      "")
)</f>
        <v>Empty Row</v>
      </c>
      <c r="D140" t="str">
        <f>IF(RawDataTable[[#This Row],[Account Name and Number]]&lt;&gt;"", RawDataTable[[#This Row],[Account Name and Number]], "Empty Row")</f>
        <v>Empty Row</v>
      </c>
      <c r="E140" s="28" t="str">
        <f>IF(D140="Empty Row", "Empty Row",
   _xlfn.LET(
       _xlpm.lookupResult, _xlfn.XLOOKUP(D140, RawDataTable[Account Name and Number], RawDataTable[Investment Date], "MISSING VALUE"),
       IF(ISNUMBER(_xlpm.lookupResult), _xlpm.lookupResult, "INVALID VALUE")
   )
)</f>
        <v>Empty Row</v>
      </c>
      <c r="F140" s="29" t="str">
        <f>IF(D140="Empty Row", "Empty Row",
   _xlfn.LET(
       _xlpm.lookupResult, _xlfn.XLOOKUP(D140, RawDataTable[Account Name and Number], RawDataTable[Investment Amount], "MISSING VALUE"),
       IF(ISNUMBER(_xlpm.lookupResult), _xlpm.lookupResult, "INVALID VALUE")
   )
)</f>
        <v>Empty Row</v>
      </c>
      <c r="G140" s="28" t="str">
        <f t="shared" ca="1" si="2"/>
        <v>Empty Row</v>
      </c>
      <c r="H140" s="29" t="str">
        <f>IF(D140="Empty Row", "Empty Row",
   _xlfn.LET(
       _xlpm.lookupResult, _xlfn.XLOOKUP(D140, RawDataTable[Account Name and Number], RawDataTable[Valuation Amount], "MISSING VALUE"),
       IF(ISNUMBER(_xlpm.lookupResult), _xlpm.lookupResult, "INVALID VALUE")
   )
)</f>
        <v>Empty Row</v>
      </c>
      <c r="I140" s="2" t="str">
        <f>IF(D140="Empty Row", "Empty Row", IF(_xlfn.XLOOKUP(B140, MasterTable[IRA Custodian], MasterTable[Address], "")="", "NO STREET NAME FOUND", _xlfn.XLOOKUP(B140, MasterTable[IRA Custodian], MasterTable[Address], "")))</f>
        <v>Empty Row</v>
      </c>
      <c r="J140" s="2" t="str">
        <f>IF(D140="Empty Row", "Empty Row",
   IF(OR(
       _xlfn.XLOOKUP(B140, MasterTable[IRA Custodian], MasterTable[City], "")="",
       _xlfn.XLOOKUP(B140, MasterTable[IRA Custodian], MasterTable[State], "")="",
       _xlfn.XLOOKUP(B140, MasterTable[IRA Custodian], MasterTable[Zip], "")=""),
       "INCOMPLETE ADDRESS",
       _xlfn.CONCAT(
           _xlfn.XLOOKUP(B140, MasterTable[IRA Custodian], MasterTable[City], ""), ", ",
           _xlfn.XLOOKUP(B140, MasterTable[IRA Custodian], MasterTable[State], ""), " ",
           _xlfn.XLOOKUP(B140, MasterTable[IRA Custodian], MasterTable[Zip], "")
       )
   )
)</f>
        <v>Empty Row</v>
      </c>
    </row>
    <row r="141" spans="1:10" x14ac:dyDescent="0.25">
      <c r="A141" t="str">
        <f>IF(D141="Empty Row", "Empty Row",
   _xlfn.LET(
       _xlpm.lookupResult, _xlfn.XLOOKUP(D141, RawDataTable[Account Name and Number], RawDataTable[Entity], "RAW DATA MISSING"),
       IF(ISBLANK(_xlpm.lookupResult), "RAW DATA MISSING", _xlpm.lookupResult)
   )
)</f>
        <v>Empty Row</v>
      </c>
      <c r="B141" t="str">
        <f>IF(D141="Empty Row", "Empty Row",
   _xlfn.LET(
       _xlpm.rawDataLookup, _xlfn.XLOOKUP(D141,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41" s="56" t="str" cm="1">
        <f t="array" ref="C141">IF(D141="Empty Row", "Empty Row",
   IF(COUNTIF('Name Mapping'!H:AD, D141) &gt; 0,
      INDEX('Name Mapping'!F:F, MATCH(TRUE, MMULT(--('Name Mapping'!H:AD=D141), TRANSPOSE(COLUMN('Name Mapping'!H:AD)^0)) &gt; 0, 0)),
      "")
)</f>
        <v>Empty Row</v>
      </c>
      <c r="D141" t="str">
        <f>IF(RawDataTable[[#This Row],[Account Name and Number]]&lt;&gt;"", RawDataTable[[#This Row],[Account Name and Number]], "Empty Row")</f>
        <v>Empty Row</v>
      </c>
      <c r="E141" s="28" t="str">
        <f>IF(D141="Empty Row", "Empty Row",
   _xlfn.LET(
       _xlpm.lookupResult, _xlfn.XLOOKUP(D141, RawDataTable[Account Name and Number], RawDataTable[Investment Date], "MISSING VALUE"),
       IF(ISNUMBER(_xlpm.lookupResult), _xlpm.lookupResult, "INVALID VALUE")
   )
)</f>
        <v>Empty Row</v>
      </c>
      <c r="F141" s="29" t="str">
        <f>IF(D141="Empty Row", "Empty Row",
   _xlfn.LET(
       _xlpm.lookupResult, _xlfn.XLOOKUP(D141, RawDataTable[Account Name and Number], RawDataTable[Investment Amount], "MISSING VALUE"),
       IF(ISNUMBER(_xlpm.lookupResult), _xlpm.lookupResult, "INVALID VALUE")
   )
)</f>
        <v>Empty Row</v>
      </c>
      <c r="G141" s="28" t="str">
        <f t="shared" ca="1" si="2"/>
        <v>Empty Row</v>
      </c>
      <c r="H141" s="29" t="str">
        <f>IF(D141="Empty Row", "Empty Row",
   _xlfn.LET(
       _xlpm.lookupResult, _xlfn.XLOOKUP(D141, RawDataTable[Account Name and Number], RawDataTable[Valuation Amount], "MISSING VALUE"),
       IF(ISNUMBER(_xlpm.lookupResult), _xlpm.lookupResult, "INVALID VALUE")
   )
)</f>
        <v>Empty Row</v>
      </c>
      <c r="I141" s="2" t="str">
        <f>IF(D141="Empty Row", "Empty Row", IF(_xlfn.XLOOKUP(B141, MasterTable[IRA Custodian], MasterTable[Address], "")="", "NO STREET NAME FOUND", _xlfn.XLOOKUP(B141, MasterTable[IRA Custodian], MasterTable[Address], "")))</f>
        <v>Empty Row</v>
      </c>
      <c r="J141" s="2" t="str">
        <f>IF(D141="Empty Row", "Empty Row",
   IF(OR(
       _xlfn.XLOOKUP(B141, MasterTable[IRA Custodian], MasterTable[City], "")="",
       _xlfn.XLOOKUP(B141, MasterTable[IRA Custodian], MasterTable[State], "")="",
       _xlfn.XLOOKUP(B141, MasterTable[IRA Custodian], MasterTable[Zip], "")=""),
       "INCOMPLETE ADDRESS",
       _xlfn.CONCAT(
           _xlfn.XLOOKUP(B141, MasterTable[IRA Custodian], MasterTable[City], ""), ", ",
           _xlfn.XLOOKUP(B141, MasterTable[IRA Custodian], MasterTable[State], ""), " ",
           _xlfn.XLOOKUP(B141, MasterTable[IRA Custodian], MasterTable[Zip], "")
       )
   )
)</f>
        <v>Empty Row</v>
      </c>
    </row>
    <row r="142" spans="1:10" x14ac:dyDescent="0.25">
      <c r="A142" t="str">
        <f>IF(D142="Empty Row", "Empty Row",
   _xlfn.LET(
       _xlpm.lookupResult, _xlfn.XLOOKUP(D142, RawDataTable[Account Name and Number], RawDataTable[Entity], "RAW DATA MISSING"),
       IF(ISBLANK(_xlpm.lookupResult), "RAW DATA MISSING", _xlpm.lookupResult)
   )
)</f>
        <v>Empty Row</v>
      </c>
      <c r="B142" t="str">
        <f>IF(D142="Empty Row", "Empty Row",
   _xlfn.LET(
       _xlpm.rawDataLookup, _xlfn.XLOOKUP(D142,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42" s="56" t="str" cm="1">
        <f t="array" ref="C142">IF(D142="Empty Row", "Empty Row",
   IF(COUNTIF('Name Mapping'!H:AD, D142) &gt; 0,
      INDEX('Name Mapping'!F:F, MATCH(TRUE, MMULT(--('Name Mapping'!H:AD=D142), TRANSPOSE(COLUMN('Name Mapping'!H:AD)^0)) &gt; 0, 0)),
      "")
)</f>
        <v>Empty Row</v>
      </c>
      <c r="D142" t="str">
        <f>IF(RawDataTable[[#This Row],[Account Name and Number]]&lt;&gt;"", RawDataTable[[#This Row],[Account Name and Number]], "Empty Row")</f>
        <v>Empty Row</v>
      </c>
      <c r="E142" s="28" t="str">
        <f>IF(D142="Empty Row", "Empty Row",
   _xlfn.LET(
       _xlpm.lookupResult, _xlfn.XLOOKUP(D142, RawDataTable[Account Name and Number], RawDataTable[Investment Date], "MISSING VALUE"),
       IF(ISNUMBER(_xlpm.lookupResult), _xlpm.lookupResult, "INVALID VALUE")
   )
)</f>
        <v>Empty Row</v>
      </c>
      <c r="F142" s="29" t="str">
        <f>IF(D142="Empty Row", "Empty Row",
   _xlfn.LET(
       _xlpm.lookupResult, _xlfn.XLOOKUP(D142, RawDataTable[Account Name and Number], RawDataTable[Investment Amount], "MISSING VALUE"),
       IF(ISNUMBER(_xlpm.lookupResult), _xlpm.lookupResult, "INVALID VALUE")
   )
)</f>
        <v>Empty Row</v>
      </c>
      <c r="G142" s="28" t="str">
        <f t="shared" ca="1" si="2"/>
        <v>Empty Row</v>
      </c>
      <c r="H142" s="29" t="str">
        <f>IF(D142="Empty Row", "Empty Row",
   _xlfn.LET(
       _xlpm.lookupResult, _xlfn.XLOOKUP(D142, RawDataTable[Account Name and Number], RawDataTable[Valuation Amount], "MISSING VALUE"),
       IF(ISNUMBER(_xlpm.lookupResult), _xlpm.lookupResult, "INVALID VALUE")
   )
)</f>
        <v>Empty Row</v>
      </c>
      <c r="I142" s="2" t="str">
        <f>IF(D142="Empty Row", "Empty Row", IF(_xlfn.XLOOKUP(B142, MasterTable[IRA Custodian], MasterTable[Address], "")="", "NO STREET NAME FOUND", _xlfn.XLOOKUP(B142, MasterTable[IRA Custodian], MasterTable[Address], "")))</f>
        <v>Empty Row</v>
      </c>
      <c r="J142" s="2" t="str">
        <f>IF(D142="Empty Row", "Empty Row",
   IF(OR(
       _xlfn.XLOOKUP(B142, MasterTable[IRA Custodian], MasterTable[City], "")="",
       _xlfn.XLOOKUP(B142, MasterTable[IRA Custodian], MasterTable[State], "")="",
       _xlfn.XLOOKUP(B142, MasterTable[IRA Custodian], MasterTable[Zip], "")=""),
       "INCOMPLETE ADDRESS",
       _xlfn.CONCAT(
           _xlfn.XLOOKUP(B142, MasterTable[IRA Custodian], MasterTable[City], ""), ", ",
           _xlfn.XLOOKUP(B142, MasterTable[IRA Custodian], MasterTable[State], ""), " ",
           _xlfn.XLOOKUP(B142, MasterTable[IRA Custodian], MasterTable[Zip], "")
       )
   )
)</f>
        <v>Empty Row</v>
      </c>
    </row>
    <row r="143" spans="1:10" x14ac:dyDescent="0.25">
      <c r="A143" t="str">
        <f>IF(D143="Empty Row", "Empty Row",
   _xlfn.LET(
       _xlpm.lookupResult, _xlfn.XLOOKUP(D143, RawDataTable[Account Name and Number], RawDataTable[Entity], "RAW DATA MISSING"),
       IF(ISBLANK(_xlpm.lookupResult), "RAW DATA MISSING", _xlpm.lookupResult)
   )
)</f>
        <v>Empty Row</v>
      </c>
      <c r="B143" t="str">
        <f>IF(D143="Empty Row", "Empty Row",
   _xlfn.LET(
       _xlpm.rawDataLookup, _xlfn.XLOOKUP(D143,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43" s="56" t="str" cm="1">
        <f t="array" ref="C143">IF(D143="Empty Row", "Empty Row",
   IF(COUNTIF('Name Mapping'!H:AD, D143) &gt; 0,
      INDEX('Name Mapping'!F:F, MATCH(TRUE, MMULT(--('Name Mapping'!H:AD=D143), TRANSPOSE(COLUMN('Name Mapping'!H:AD)^0)) &gt; 0, 0)),
      "")
)</f>
        <v>Empty Row</v>
      </c>
      <c r="D143" t="str">
        <f>IF(RawDataTable[[#This Row],[Account Name and Number]]&lt;&gt;"", RawDataTable[[#This Row],[Account Name and Number]], "Empty Row")</f>
        <v>Empty Row</v>
      </c>
      <c r="E143" s="28" t="str">
        <f>IF(D143="Empty Row", "Empty Row",
   _xlfn.LET(
       _xlpm.lookupResult, _xlfn.XLOOKUP(D143, RawDataTable[Account Name and Number], RawDataTable[Investment Date], "MISSING VALUE"),
       IF(ISNUMBER(_xlpm.lookupResult), _xlpm.lookupResult, "INVALID VALUE")
   )
)</f>
        <v>Empty Row</v>
      </c>
      <c r="F143" s="29" t="str">
        <f>IF(D143="Empty Row", "Empty Row",
   _xlfn.LET(
       _xlpm.lookupResult, _xlfn.XLOOKUP(D143, RawDataTable[Account Name and Number], RawDataTable[Investment Amount], "MISSING VALUE"),
       IF(ISNUMBER(_xlpm.lookupResult), _xlpm.lookupResult, "INVALID VALUE")
   )
)</f>
        <v>Empty Row</v>
      </c>
      <c r="G143" s="28" t="str">
        <f t="shared" ca="1" si="2"/>
        <v>Empty Row</v>
      </c>
      <c r="H143" s="29" t="str">
        <f>IF(D143="Empty Row", "Empty Row",
   _xlfn.LET(
       _xlpm.lookupResult, _xlfn.XLOOKUP(D143, RawDataTable[Account Name and Number], RawDataTable[Valuation Amount], "MISSING VALUE"),
       IF(ISNUMBER(_xlpm.lookupResult), _xlpm.lookupResult, "INVALID VALUE")
   )
)</f>
        <v>Empty Row</v>
      </c>
      <c r="I143" s="2" t="str">
        <f>IF(D143="Empty Row", "Empty Row", IF(_xlfn.XLOOKUP(B143, MasterTable[IRA Custodian], MasterTable[Address], "")="", "NO STREET NAME FOUND", _xlfn.XLOOKUP(B143, MasterTable[IRA Custodian], MasterTable[Address], "")))</f>
        <v>Empty Row</v>
      </c>
      <c r="J143" s="2" t="str">
        <f>IF(D143="Empty Row", "Empty Row",
   IF(OR(
       _xlfn.XLOOKUP(B143, MasterTable[IRA Custodian], MasterTable[City], "")="",
       _xlfn.XLOOKUP(B143, MasterTable[IRA Custodian], MasterTable[State], "")="",
       _xlfn.XLOOKUP(B143, MasterTable[IRA Custodian], MasterTable[Zip], "")=""),
       "INCOMPLETE ADDRESS",
       _xlfn.CONCAT(
           _xlfn.XLOOKUP(B143, MasterTable[IRA Custodian], MasterTable[City], ""), ", ",
           _xlfn.XLOOKUP(B143, MasterTable[IRA Custodian], MasterTable[State], ""), " ",
           _xlfn.XLOOKUP(B143, MasterTable[IRA Custodian], MasterTable[Zip], "")
       )
   )
)</f>
        <v>Empty Row</v>
      </c>
    </row>
    <row r="144" spans="1:10" x14ac:dyDescent="0.25">
      <c r="A144" t="str">
        <f>IF(D144="Empty Row", "Empty Row",
   _xlfn.LET(
       _xlpm.lookupResult, _xlfn.XLOOKUP(D144, RawDataTable[Account Name and Number], RawDataTable[Entity], "RAW DATA MISSING"),
       IF(ISBLANK(_xlpm.lookupResult), "RAW DATA MISSING", _xlpm.lookupResult)
   )
)</f>
        <v>Empty Row</v>
      </c>
      <c r="B144" t="str">
        <f>IF(D144="Empty Row", "Empty Row",
   _xlfn.LET(
       _xlpm.rawDataLookup, _xlfn.XLOOKUP(D144,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44" s="56" t="str" cm="1">
        <f t="array" ref="C144">IF(D144="Empty Row", "Empty Row",
   IF(COUNTIF('Name Mapping'!H:AD, D144) &gt; 0,
      INDEX('Name Mapping'!F:F, MATCH(TRUE, MMULT(--('Name Mapping'!H:AD=D144), TRANSPOSE(COLUMN('Name Mapping'!H:AD)^0)) &gt; 0, 0)),
      "")
)</f>
        <v>Empty Row</v>
      </c>
      <c r="D144" t="str">
        <f>IF(RawDataTable[[#This Row],[Account Name and Number]]&lt;&gt;"", RawDataTable[[#This Row],[Account Name and Number]], "Empty Row")</f>
        <v>Empty Row</v>
      </c>
      <c r="E144" s="28" t="str">
        <f>IF(D144="Empty Row", "Empty Row",
   _xlfn.LET(
       _xlpm.lookupResult, _xlfn.XLOOKUP(D144, RawDataTable[Account Name and Number], RawDataTable[Investment Date], "MISSING VALUE"),
       IF(ISNUMBER(_xlpm.lookupResult), _xlpm.lookupResult, "INVALID VALUE")
   )
)</f>
        <v>Empty Row</v>
      </c>
      <c r="F144" s="29" t="str">
        <f>IF(D144="Empty Row", "Empty Row",
   _xlfn.LET(
       _xlpm.lookupResult, _xlfn.XLOOKUP(D144, RawDataTable[Account Name and Number], RawDataTable[Investment Amount], "MISSING VALUE"),
       IF(ISNUMBER(_xlpm.lookupResult), _xlpm.lookupResult, "INVALID VALUE")
   )
)</f>
        <v>Empty Row</v>
      </c>
      <c r="G144" s="28" t="str">
        <f t="shared" ca="1" si="2"/>
        <v>Empty Row</v>
      </c>
      <c r="H144" s="29" t="str">
        <f>IF(D144="Empty Row", "Empty Row",
   _xlfn.LET(
       _xlpm.lookupResult, _xlfn.XLOOKUP(D144, RawDataTable[Account Name and Number], RawDataTable[Valuation Amount], "MISSING VALUE"),
       IF(ISNUMBER(_xlpm.lookupResult), _xlpm.lookupResult, "INVALID VALUE")
   )
)</f>
        <v>Empty Row</v>
      </c>
      <c r="I144" s="2" t="str">
        <f>IF(D144="Empty Row", "Empty Row", IF(_xlfn.XLOOKUP(B144, MasterTable[IRA Custodian], MasterTable[Address], "")="", "NO STREET NAME FOUND", _xlfn.XLOOKUP(B144, MasterTable[IRA Custodian], MasterTable[Address], "")))</f>
        <v>Empty Row</v>
      </c>
      <c r="J144" s="2" t="str">
        <f>IF(D144="Empty Row", "Empty Row",
   IF(OR(
       _xlfn.XLOOKUP(B144, MasterTable[IRA Custodian], MasterTable[City], "")="",
       _xlfn.XLOOKUP(B144, MasterTable[IRA Custodian], MasterTable[State], "")="",
       _xlfn.XLOOKUP(B144, MasterTable[IRA Custodian], MasterTable[Zip], "")=""),
       "INCOMPLETE ADDRESS",
       _xlfn.CONCAT(
           _xlfn.XLOOKUP(B144, MasterTable[IRA Custodian], MasterTable[City], ""), ", ",
           _xlfn.XLOOKUP(B144, MasterTable[IRA Custodian], MasterTable[State], ""), " ",
           _xlfn.XLOOKUP(B144, MasterTable[IRA Custodian], MasterTable[Zip], "")
       )
   )
)</f>
        <v>Empty Row</v>
      </c>
    </row>
    <row r="145" spans="1:10" x14ac:dyDescent="0.25">
      <c r="A145" t="str">
        <f>IF(D145="Empty Row", "Empty Row",
   _xlfn.LET(
       _xlpm.lookupResult, _xlfn.XLOOKUP(D145, RawDataTable[Account Name and Number], RawDataTable[Entity], "RAW DATA MISSING"),
       IF(ISBLANK(_xlpm.lookupResult), "RAW DATA MISSING", _xlpm.lookupResult)
   )
)</f>
        <v>Empty Row</v>
      </c>
      <c r="B145" t="str">
        <f>IF(D145="Empty Row", "Empty Row",
   _xlfn.LET(
       _xlpm.rawDataLookup, _xlfn.XLOOKUP(D145,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45" s="56" t="str" cm="1">
        <f t="array" ref="C145">IF(D145="Empty Row", "Empty Row",
   IF(COUNTIF('Name Mapping'!H:AD, D145) &gt; 0,
      INDEX('Name Mapping'!F:F, MATCH(TRUE, MMULT(--('Name Mapping'!H:AD=D145), TRANSPOSE(COLUMN('Name Mapping'!H:AD)^0)) &gt; 0, 0)),
      "")
)</f>
        <v>Empty Row</v>
      </c>
      <c r="D145" t="str">
        <f>IF(RawDataTable[[#This Row],[Account Name and Number]]&lt;&gt;"", RawDataTable[[#This Row],[Account Name and Number]], "Empty Row")</f>
        <v>Empty Row</v>
      </c>
      <c r="E145" s="28" t="str">
        <f>IF(D145="Empty Row", "Empty Row",
   _xlfn.LET(
       _xlpm.lookupResult, _xlfn.XLOOKUP(D145, RawDataTable[Account Name and Number], RawDataTable[Investment Date], "MISSING VALUE"),
       IF(ISNUMBER(_xlpm.lookupResult), _xlpm.lookupResult, "INVALID VALUE")
   )
)</f>
        <v>Empty Row</v>
      </c>
      <c r="F145" s="29" t="str">
        <f>IF(D145="Empty Row", "Empty Row",
   _xlfn.LET(
       _xlpm.lookupResult, _xlfn.XLOOKUP(D145, RawDataTable[Account Name and Number], RawDataTable[Investment Amount], "MISSING VALUE"),
       IF(ISNUMBER(_xlpm.lookupResult), _xlpm.lookupResult, "INVALID VALUE")
   )
)</f>
        <v>Empty Row</v>
      </c>
      <c r="G145" s="28" t="str">
        <f t="shared" ca="1" si="2"/>
        <v>Empty Row</v>
      </c>
      <c r="H145" s="29" t="str">
        <f>IF(D145="Empty Row", "Empty Row",
   _xlfn.LET(
       _xlpm.lookupResult, _xlfn.XLOOKUP(D145, RawDataTable[Account Name and Number], RawDataTable[Valuation Amount], "MISSING VALUE"),
       IF(ISNUMBER(_xlpm.lookupResult), _xlpm.lookupResult, "INVALID VALUE")
   )
)</f>
        <v>Empty Row</v>
      </c>
      <c r="I145" s="2" t="str">
        <f>IF(D145="Empty Row", "Empty Row", IF(_xlfn.XLOOKUP(B145, MasterTable[IRA Custodian], MasterTable[Address], "")="", "NO STREET NAME FOUND", _xlfn.XLOOKUP(B145, MasterTable[IRA Custodian], MasterTable[Address], "")))</f>
        <v>Empty Row</v>
      </c>
      <c r="J145" s="2" t="str">
        <f>IF(D145="Empty Row", "Empty Row",
   IF(OR(
       _xlfn.XLOOKUP(B145, MasterTable[IRA Custodian], MasterTable[City], "")="",
       _xlfn.XLOOKUP(B145, MasterTable[IRA Custodian], MasterTable[State], "")="",
       _xlfn.XLOOKUP(B145, MasterTable[IRA Custodian], MasterTable[Zip], "")=""),
       "INCOMPLETE ADDRESS",
       _xlfn.CONCAT(
           _xlfn.XLOOKUP(B145, MasterTable[IRA Custodian], MasterTable[City], ""), ", ",
           _xlfn.XLOOKUP(B145, MasterTable[IRA Custodian], MasterTable[State], ""), " ",
           _xlfn.XLOOKUP(B145, MasterTable[IRA Custodian], MasterTable[Zip], "")
       )
   )
)</f>
        <v>Empty Row</v>
      </c>
    </row>
    <row r="146" spans="1:10" x14ac:dyDescent="0.25">
      <c r="A146" t="str">
        <f>IF(D146="Empty Row", "Empty Row",
   _xlfn.LET(
       _xlpm.lookupResult, _xlfn.XLOOKUP(D146, RawDataTable[Account Name and Number], RawDataTable[Entity], "RAW DATA MISSING"),
       IF(ISBLANK(_xlpm.lookupResult), "RAW DATA MISSING", _xlpm.lookupResult)
   )
)</f>
        <v>Empty Row</v>
      </c>
      <c r="B146" t="str">
        <f>IF(D146="Empty Row", "Empty Row",
   _xlfn.LET(
       _xlpm.rawDataLookup, _xlfn.XLOOKUP(D146,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46" s="56" t="str" cm="1">
        <f t="array" ref="C146">IF(D146="Empty Row", "Empty Row",
   IF(COUNTIF('Name Mapping'!H:AD, D146) &gt; 0,
      INDEX('Name Mapping'!F:F, MATCH(TRUE, MMULT(--('Name Mapping'!H:AD=D146), TRANSPOSE(COLUMN('Name Mapping'!H:AD)^0)) &gt; 0, 0)),
      "")
)</f>
        <v>Empty Row</v>
      </c>
      <c r="D146" t="str">
        <f>IF(RawDataTable[[#This Row],[Account Name and Number]]&lt;&gt;"", RawDataTable[[#This Row],[Account Name and Number]], "Empty Row")</f>
        <v>Empty Row</v>
      </c>
      <c r="E146" s="28" t="str">
        <f>IF(D146="Empty Row", "Empty Row",
   _xlfn.LET(
       _xlpm.lookupResult, _xlfn.XLOOKUP(D146, RawDataTable[Account Name and Number], RawDataTable[Investment Date], "MISSING VALUE"),
       IF(ISNUMBER(_xlpm.lookupResult), _xlpm.lookupResult, "INVALID VALUE")
   )
)</f>
        <v>Empty Row</v>
      </c>
      <c r="F146" s="29" t="str">
        <f>IF(D146="Empty Row", "Empty Row",
   _xlfn.LET(
       _xlpm.lookupResult, _xlfn.XLOOKUP(D146, RawDataTable[Account Name and Number], RawDataTable[Investment Amount], "MISSING VALUE"),
       IF(ISNUMBER(_xlpm.lookupResult), _xlpm.lookupResult, "INVALID VALUE")
   )
)</f>
        <v>Empty Row</v>
      </c>
      <c r="G146" s="28" t="str">
        <f t="shared" ca="1" si="2"/>
        <v>Empty Row</v>
      </c>
      <c r="H146" s="29" t="str">
        <f>IF(D146="Empty Row", "Empty Row",
   _xlfn.LET(
       _xlpm.lookupResult, _xlfn.XLOOKUP(D146, RawDataTable[Account Name and Number], RawDataTable[Valuation Amount], "MISSING VALUE"),
       IF(ISNUMBER(_xlpm.lookupResult), _xlpm.lookupResult, "INVALID VALUE")
   )
)</f>
        <v>Empty Row</v>
      </c>
      <c r="I146" s="2" t="str">
        <f>IF(D146="Empty Row", "Empty Row", IF(_xlfn.XLOOKUP(B146, MasterTable[IRA Custodian], MasterTable[Address], "")="", "NO STREET NAME FOUND", _xlfn.XLOOKUP(B146, MasterTable[IRA Custodian], MasterTable[Address], "")))</f>
        <v>Empty Row</v>
      </c>
      <c r="J146" s="2" t="str">
        <f>IF(D146="Empty Row", "Empty Row",
   IF(OR(
       _xlfn.XLOOKUP(B146, MasterTable[IRA Custodian], MasterTable[City], "")="",
       _xlfn.XLOOKUP(B146, MasterTable[IRA Custodian], MasterTable[State], "")="",
       _xlfn.XLOOKUP(B146, MasterTable[IRA Custodian], MasterTable[Zip], "")=""),
       "INCOMPLETE ADDRESS",
       _xlfn.CONCAT(
           _xlfn.XLOOKUP(B146, MasterTable[IRA Custodian], MasterTable[City], ""), ", ",
           _xlfn.XLOOKUP(B146, MasterTable[IRA Custodian], MasterTable[State], ""), " ",
           _xlfn.XLOOKUP(B146, MasterTable[IRA Custodian], MasterTable[Zip], "")
       )
   )
)</f>
        <v>Empty Row</v>
      </c>
    </row>
    <row r="147" spans="1:10" x14ac:dyDescent="0.25">
      <c r="A147" t="str">
        <f>IF(D147="Empty Row", "Empty Row",
   _xlfn.LET(
       _xlpm.lookupResult, _xlfn.XLOOKUP(D147, RawDataTable[Account Name and Number], RawDataTable[Entity], "RAW DATA MISSING"),
       IF(ISBLANK(_xlpm.lookupResult), "RAW DATA MISSING", _xlpm.lookupResult)
   )
)</f>
        <v>Empty Row</v>
      </c>
      <c r="B147" t="str">
        <f>IF(D147="Empty Row", "Empty Row",
   _xlfn.LET(
       _xlpm.rawDataLookup, _xlfn.XLOOKUP(D147,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47" s="56" t="str" cm="1">
        <f t="array" ref="C147">IF(D147="Empty Row", "Empty Row",
   IF(COUNTIF('Name Mapping'!H:AD, D147) &gt; 0,
      INDEX('Name Mapping'!F:F, MATCH(TRUE, MMULT(--('Name Mapping'!H:AD=D147), TRANSPOSE(COLUMN('Name Mapping'!H:AD)^0)) &gt; 0, 0)),
      "")
)</f>
        <v>Empty Row</v>
      </c>
      <c r="D147" t="str">
        <f>IF(RawDataTable[[#This Row],[Account Name and Number]]&lt;&gt;"", RawDataTable[[#This Row],[Account Name and Number]], "Empty Row")</f>
        <v>Empty Row</v>
      </c>
      <c r="E147" s="28" t="str">
        <f>IF(D147="Empty Row", "Empty Row",
   _xlfn.LET(
       _xlpm.lookupResult, _xlfn.XLOOKUP(D147, RawDataTable[Account Name and Number], RawDataTable[Investment Date], "MISSING VALUE"),
       IF(ISNUMBER(_xlpm.lookupResult), _xlpm.lookupResult, "INVALID VALUE")
   )
)</f>
        <v>Empty Row</v>
      </c>
      <c r="F147" s="29" t="str">
        <f>IF(D147="Empty Row", "Empty Row",
   _xlfn.LET(
       _xlpm.lookupResult, _xlfn.XLOOKUP(D147, RawDataTable[Account Name and Number], RawDataTable[Investment Amount], "MISSING VALUE"),
       IF(ISNUMBER(_xlpm.lookupResult), _xlpm.lookupResult, "INVALID VALUE")
   )
)</f>
        <v>Empty Row</v>
      </c>
      <c r="G147" s="28" t="str">
        <f t="shared" ca="1" si="2"/>
        <v>Empty Row</v>
      </c>
      <c r="H147" s="29" t="str">
        <f>IF(D147="Empty Row", "Empty Row",
   _xlfn.LET(
       _xlpm.lookupResult, _xlfn.XLOOKUP(D147, RawDataTable[Account Name and Number], RawDataTable[Valuation Amount], "MISSING VALUE"),
       IF(ISNUMBER(_xlpm.lookupResult), _xlpm.lookupResult, "INVALID VALUE")
   )
)</f>
        <v>Empty Row</v>
      </c>
      <c r="I147" s="2" t="str">
        <f>IF(D147="Empty Row", "Empty Row", IF(_xlfn.XLOOKUP(B147, MasterTable[IRA Custodian], MasterTable[Address], "")="", "NO STREET NAME FOUND", _xlfn.XLOOKUP(B147, MasterTable[IRA Custodian], MasterTable[Address], "")))</f>
        <v>Empty Row</v>
      </c>
      <c r="J147" s="2" t="str">
        <f>IF(D147="Empty Row", "Empty Row",
   IF(OR(
       _xlfn.XLOOKUP(B147, MasterTable[IRA Custodian], MasterTable[City], "")="",
       _xlfn.XLOOKUP(B147, MasterTable[IRA Custodian], MasterTable[State], "")="",
       _xlfn.XLOOKUP(B147, MasterTable[IRA Custodian], MasterTable[Zip], "")=""),
       "INCOMPLETE ADDRESS",
       _xlfn.CONCAT(
           _xlfn.XLOOKUP(B147, MasterTable[IRA Custodian], MasterTable[City], ""), ", ",
           _xlfn.XLOOKUP(B147, MasterTable[IRA Custodian], MasterTable[State], ""), " ",
           _xlfn.XLOOKUP(B147, MasterTable[IRA Custodian], MasterTable[Zip], "")
       )
   )
)</f>
        <v>Empty Row</v>
      </c>
    </row>
    <row r="148" spans="1:10" x14ac:dyDescent="0.25">
      <c r="A148" t="str">
        <f>IF(D148="Empty Row", "Empty Row",
   _xlfn.LET(
       _xlpm.lookupResult, _xlfn.XLOOKUP(D148, RawDataTable[Account Name and Number], RawDataTable[Entity], "RAW DATA MISSING"),
       IF(ISBLANK(_xlpm.lookupResult), "RAW DATA MISSING", _xlpm.lookupResult)
   )
)</f>
        <v>Empty Row</v>
      </c>
      <c r="B148" t="str">
        <f>IF(D148="Empty Row", "Empty Row",
   _xlfn.LET(
       _xlpm.rawDataLookup, _xlfn.XLOOKUP(D148,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48" s="56" t="str" cm="1">
        <f t="array" ref="C148">IF(D148="Empty Row", "Empty Row",
   IF(COUNTIF('Name Mapping'!H:AD, D148) &gt; 0,
      INDEX('Name Mapping'!F:F, MATCH(TRUE, MMULT(--('Name Mapping'!H:AD=D148), TRANSPOSE(COLUMN('Name Mapping'!H:AD)^0)) &gt; 0, 0)),
      "")
)</f>
        <v>Empty Row</v>
      </c>
      <c r="D148" t="str">
        <f>IF(RawDataTable[[#This Row],[Account Name and Number]]&lt;&gt;"", RawDataTable[[#This Row],[Account Name and Number]], "Empty Row")</f>
        <v>Empty Row</v>
      </c>
      <c r="E148" s="28" t="str">
        <f>IF(D148="Empty Row", "Empty Row",
   _xlfn.LET(
       _xlpm.lookupResult, _xlfn.XLOOKUP(D148, RawDataTable[Account Name and Number], RawDataTable[Investment Date], "MISSING VALUE"),
       IF(ISNUMBER(_xlpm.lookupResult), _xlpm.lookupResult, "INVALID VALUE")
   )
)</f>
        <v>Empty Row</v>
      </c>
      <c r="F148" s="29" t="str">
        <f>IF(D148="Empty Row", "Empty Row",
   _xlfn.LET(
       _xlpm.lookupResult, _xlfn.XLOOKUP(D148, RawDataTable[Account Name and Number], RawDataTable[Investment Amount], "MISSING VALUE"),
       IF(ISNUMBER(_xlpm.lookupResult), _xlpm.lookupResult, "INVALID VALUE")
   )
)</f>
        <v>Empty Row</v>
      </c>
      <c r="G148" s="28" t="str">
        <f t="shared" ca="1" si="2"/>
        <v>Empty Row</v>
      </c>
      <c r="H148" s="29" t="str">
        <f>IF(D148="Empty Row", "Empty Row",
   _xlfn.LET(
       _xlpm.lookupResult, _xlfn.XLOOKUP(D148, RawDataTable[Account Name and Number], RawDataTable[Valuation Amount], "MISSING VALUE"),
       IF(ISNUMBER(_xlpm.lookupResult), _xlpm.lookupResult, "INVALID VALUE")
   )
)</f>
        <v>Empty Row</v>
      </c>
      <c r="I148" s="2" t="str">
        <f>IF(D148="Empty Row", "Empty Row", IF(_xlfn.XLOOKUP(B148, MasterTable[IRA Custodian], MasterTable[Address], "")="", "NO STREET NAME FOUND", _xlfn.XLOOKUP(B148, MasterTable[IRA Custodian], MasterTable[Address], "")))</f>
        <v>Empty Row</v>
      </c>
      <c r="J148" s="2" t="str">
        <f>IF(D148="Empty Row", "Empty Row",
   IF(OR(
       _xlfn.XLOOKUP(B148, MasterTable[IRA Custodian], MasterTable[City], "")="",
       _xlfn.XLOOKUP(B148, MasterTable[IRA Custodian], MasterTable[State], "")="",
       _xlfn.XLOOKUP(B148, MasterTable[IRA Custodian], MasterTable[Zip], "")=""),
       "INCOMPLETE ADDRESS",
       _xlfn.CONCAT(
           _xlfn.XLOOKUP(B148, MasterTable[IRA Custodian], MasterTable[City], ""), ", ",
           _xlfn.XLOOKUP(B148, MasterTable[IRA Custodian], MasterTable[State], ""), " ",
           _xlfn.XLOOKUP(B148, MasterTable[IRA Custodian], MasterTable[Zip], "")
       )
   )
)</f>
        <v>Empty Row</v>
      </c>
    </row>
    <row r="149" spans="1:10" x14ac:dyDescent="0.25">
      <c r="A149" t="str">
        <f>IF(D149="Empty Row", "Empty Row",
   _xlfn.LET(
       _xlpm.lookupResult, _xlfn.XLOOKUP(D149, RawDataTable[Account Name and Number], RawDataTable[Entity], "RAW DATA MISSING"),
       IF(ISBLANK(_xlpm.lookupResult), "RAW DATA MISSING", _xlpm.lookupResult)
   )
)</f>
        <v>Empty Row</v>
      </c>
      <c r="B149" t="str">
        <f>IF(D149="Empty Row", "Empty Row",
   _xlfn.LET(
       _xlpm.rawDataLookup, _xlfn.XLOOKUP(D149,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49" s="56" t="str" cm="1">
        <f t="array" ref="C149">IF(D149="Empty Row", "Empty Row",
   IF(COUNTIF('Name Mapping'!H:AD, D149) &gt; 0,
      INDEX('Name Mapping'!F:F, MATCH(TRUE, MMULT(--('Name Mapping'!H:AD=D149), TRANSPOSE(COLUMN('Name Mapping'!H:AD)^0)) &gt; 0, 0)),
      "")
)</f>
        <v>Empty Row</v>
      </c>
      <c r="D149" t="str">
        <f>IF(RawDataTable[[#This Row],[Account Name and Number]]&lt;&gt;"", RawDataTable[[#This Row],[Account Name and Number]], "Empty Row")</f>
        <v>Empty Row</v>
      </c>
      <c r="E149" s="28" t="str">
        <f>IF(D149="Empty Row", "Empty Row",
   _xlfn.LET(
       _xlpm.lookupResult, _xlfn.XLOOKUP(D149, RawDataTable[Account Name and Number], RawDataTable[Investment Date], "MISSING VALUE"),
       IF(ISNUMBER(_xlpm.lookupResult), _xlpm.lookupResult, "INVALID VALUE")
   )
)</f>
        <v>Empty Row</v>
      </c>
      <c r="F149" s="29" t="str">
        <f>IF(D149="Empty Row", "Empty Row",
   _xlfn.LET(
       _xlpm.lookupResult, _xlfn.XLOOKUP(D149, RawDataTable[Account Name and Number], RawDataTable[Investment Amount], "MISSING VALUE"),
       IF(ISNUMBER(_xlpm.lookupResult), _xlpm.lookupResult, "INVALID VALUE")
   )
)</f>
        <v>Empty Row</v>
      </c>
      <c r="G149" s="28" t="str">
        <f t="shared" ca="1" si="2"/>
        <v>Empty Row</v>
      </c>
      <c r="H149" s="29" t="str">
        <f>IF(D149="Empty Row", "Empty Row",
   _xlfn.LET(
       _xlpm.lookupResult, _xlfn.XLOOKUP(D149, RawDataTable[Account Name and Number], RawDataTable[Valuation Amount], "MISSING VALUE"),
       IF(ISNUMBER(_xlpm.lookupResult), _xlpm.lookupResult, "INVALID VALUE")
   )
)</f>
        <v>Empty Row</v>
      </c>
      <c r="I149" s="2" t="str">
        <f>IF(D149="Empty Row", "Empty Row", IF(_xlfn.XLOOKUP(B149, MasterTable[IRA Custodian], MasterTable[Address], "")="", "NO STREET NAME FOUND", _xlfn.XLOOKUP(B149, MasterTable[IRA Custodian], MasterTable[Address], "")))</f>
        <v>Empty Row</v>
      </c>
      <c r="J149" s="2" t="str">
        <f>IF(D149="Empty Row", "Empty Row",
   IF(OR(
       _xlfn.XLOOKUP(B149, MasterTable[IRA Custodian], MasterTable[City], "")="",
       _xlfn.XLOOKUP(B149, MasterTable[IRA Custodian], MasterTable[State], "")="",
       _xlfn.XLOOKUP(B149, MasterTable[IRA Custodian], MasterTable[Zip], "")=""),
       "INCOMPLETE ADDRESS",
       _xlfn.CONCAT(
           _xlfn.XLOOKUP(B149, MasterTable[IRA Custodian], MasterTable[City], ""), ", ",
           _xlfn.XLOOKUP(B149, MasterTable[IRA Custodian], MasterTable[State], ""), " ",
           _xlfn.XLOOKUP(B149, MasterTable[IRA Custodian], MasterTable[Zip], "")
       )
   )
)</f>
        <v>Empty Row</v>
      </c>
    </row>
    <row r="150" spans="1:10" x14ac:dyDescent="0.25">
      <c r="A150" t="str">
        <f>IF(D150="Empty Row", "Empty Row",
   _xlfn.LET(
       _xlpm.lookupResult, _xlfn.XLOOKUP(D150, RawDataTable[Account Name and Number], RawDataTable[Entity], "RAW DATA MISSING"),
       IF(ISBLANK(_xlpm.lookupResult), "RAW DATA MISSING", _xlpm.lookupResult)
   )
)</f>
        <v>Empty Row</v>
      </c>
      <c r="B150" t="str">
        <f>IF(D150="Empty Row", "Empty Row",
   _xlfn.LET(
       _xlpm.rawDataLookup, _xlfn.XLOOKUP(D150,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50" s="56" t="str" cm="1">
        <f t="array" ref="C150">IF(D150="Empty Row", "Empty Row",
   IF(COUNTIF('Name Mapping'!H:AD, D150) &gt; 0,
      INDEX('Name Mapping'!F:F, MATCH(TRUE, MMULT(--('Name Mapping'!H:AD=D150), TRANSPOSE(COLUMN('Name Mapping'!H:AD)^0)) &gt; 0, 0)),
      "")
)</f>
        <v>Empty Row</v>
      </c>
      <c r="D150" t="str">
        <f>IF(RawDataTable[[#This Row],[Account Name and Number]]&lt;&gt;"", RawDataTable[[#This Row],[Account Name and Number]], "Empty Row")</f>
        <v>Empty Row</v>
      </c>
      <c r="E150" s="28" t="str">
        <f>IF(D150="Empty Row", "Empty Row",
   _xlfn.LET(
       _xlpm.lookupResult, _xlfn.XLOOKUP(D150, RawDataTable[Account Name and Number], RawDataTable[Investment Date], "MISSING VALUE"),
       IF(ISNUMBER(_xlpm.lookupResult), _xlpm.lookupResult, "INVALID VALUE")
   )
)</f>
        <v>Empty Row</v>
      </c>
      <c r="F150" s="29" t="str">
        <f>IF(D150="Empty Row", "Empty Row",
   _xlfn.LET(
       _xlpm.lookupResult, _xlfn.XLOOKUP(D150, RawDataTable[Account Name and Number], RawDataTable[Investment Amount], "MISSING VALUE"),
       IF(ISNUMBER(_xlpm.lookupResult), _xlpm.lookupResult, "INVALID VALUE")
   )
)</f>
        <v>Empty Row</v>
      </c>
      <c r="G150" s="28" t="str">
        <f t="shared" ca="1" si="2"/>
        <v>Empty Row</v>
      </c>
      <c r="H150" s="29" t="str">
        <f>IF(D150="Empty Row", "Empty Row",
   _xlfn.LET(
       _xlpm.lookupResult, _xlfn.XLOOKUP(D150, RawDataTable[Account Name and Number], RawDataTable[Valuation Amount], "MISSING VALUE"),
       IF(ISNUMBER(_xlpm.lookupResult), _xlpm.lookupResult, "INVALID VALUE")
   )
)</f>
        <v>Empty Row</v>
      </c>
      <c r="I150" s="2" t="str">
        <f>IF(D150="Empty Row", "Empty Row", IF(_xlfn.XLOOKUP(B150, MasterTable[IRA Custodian], MasterTable[Address], "")="", "NO STREET NAME FOUND", _xlfn.XLOOKUP(B150, MasterTable[IRA Custodian], MasterTable[Address], "")))</f>
        <v>Empty Row</v>
      </c>
      <c r="J150" s="2" t="str">
        <f>IF(D150="Empty Row", "Empty Row",
   IF(OR(
       _xlfn.XLOOKUP(B150, MasterTable[IRA Custodian], MasterTable[City], "")="",
       _xlfn.XLOOKUP(B150, MasterTable[IRA Custodian], MasterTable[State], "")="",
       _xlfn.XLOOKUP(B150, MasterTable[IRA Custodian], MasterTable[Zip], "")=""),
       "INCOMPLETE ADDRESS",
       _xlfn.CONCAT(
           _xlfn.XLOOKUP(B150, MasterTable[IRA Custodian], MasterTable[City], ""), ", ",
           _xlfn.XLOOKUP(B150, MasterTable[IRA Custodian], MasterTable[State], ""), " ",
           _xlfn.XLOOKUP(B150, MasterTable[IRA Custodian], MasterTable[Zip], "")
       )
   )
)</f>
        <v>Empty Row</v>
      </c>
    </row>
    <row r="151" spans="1:10" x14ac:dyDescent="0.25">
      <c r="A151" t="str">
        <f>IF(D151="Empty Row", "Empty Row",
   _xlfn.LET(
       _xlpm.lookupResult, _xlfn.XLOOKUP(D151, RawDataTable[Account Name and Number], RawDataTable[Entity], "RAW DATA MISSING"),
       IF(ISBLANK(_xlpm.lookupResult), "RAW DATA MISSING", _xlpm.lookupResult)
   )
)</f>
        <v>Empty Row</v>
      </c>
      <c r="B151" t="str">
        <f>IF(D151="Empty Row", "Empty Row",
   _xlfn.LET(
       _xlpm.rawDataLookup, _xlfn.XLOOKUP(D151,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51" s="56" t="str" cm="1">
        <f t="array" ref="C151">IF(D151="Empty Row", "Empty Row",
   IF(COUNTIF('Name Mapping'!H:AD, D151) &gt; 0,
      INDEX('Name Mapping'!F:F, MATCH(TRUE, MMULT(--('Name Mapping'!H:AD=D151), TRANSPOSE(COLUMN('Name Mapping'!H:AD)^0)) &gt; 0, 0)),
      "")
)</f>
        <v>Empty Row</v>
      </c>
      <c r="D151" t="str">
        <f>IF(RawDataTable[[#This Row],[Account Name and Number]]&lt;&gt;"", RawDataTable[[#This Row],[Account Name and Number]], "Empty Row")</f>
        <v>Empty Row</v>
      </c>
      <c r="E151" s="28" t="str">
        <f>IF(D151="Empty Row", "Empty Row",
   _xlfn.LET(
       _xlpm.lookupResult, _xlfn.XLOOKUP(D151, RawDataTable[Account Name and Number], RawDataTable[Investment Date], "MISSING VALUE"),
       IF(ISNUMBER(_xlpm.lookupResult), _xlpm.lookupResult, "INVALID VALUE")
   )
)</f>
        <v>Empty Row</v>
      </c>
      <c r="F151" s="29" t="str">
        <f>IF(D151="Empty Row", "Empty Row",
   _xlfn.LET(
       _xlpm.lookupResult, _xlfn.XLOOKUP(D151, RawDataTable[Account Name and Number], RawDataTable[Investment Amount], "MISSING VALUE"),
       IF(ISNUMBER(_xlpm.lookupResult), _xlpm.lookupResult, "INVALID VALUE")
   )
)</f>
        <v>Empty Row</v>
      </c>
      <c r="G151" s="28" t="str">
        <f t="shared" ca="1" si="2"/>
        <v>Empty Row</v>
      </c>
      <c r="H151" s="29" t="str">
        <f>IF(D151="Empty Row", "Empty Row",
   _xlfn.LET(
       _xlpm.lookupResult, _xlfn.XLOOKUP(D151, RawDataTable[Account Name and Number], RawDataTable[Valuation Amount], "MISSING VALUE"),
       IF(ISNUMBER(_xlpm.lookupResult), _xlpm.lookupResult, "INVALID VALUE")
   )
)</f>
        <v>Empty Row</v>
      </c>
      <c r="I151" s="2" t="str">
        <f>IF(D151="Empty Row", "Empty Row", IF(_xlfn.XLOOKUP(B151, MasterTable[IRA Custodian], MasterTable[Address], "")="", "NO STREET NAME FOUND", _xlfn.XLOOKUP(B151, MasterTable[IRA Custodian], MasterTable[Address], "")))</f>
        <v>Empty Row</v>
      </c>
      <c r="J151" s="2" t="str">
        <f>IF(D151="Empty Row", "Empty Row",
   IF(OR(
       _xlfn.XLOOKUP(B151, MasterTable[IRA Custodian], MasterTable[City], "")="",
       _xlfn.XLOOKUP(B151, MasterTable[IRA Custodian], MasterTable[State], "")="",
       _xlfn.XLOOKUP(B151, MasterTable[IRA Custodian], MasterTable[Zip], "")=""),
       "INCOMPLETE ADDRESS",
       _xlfn.CONCAT(
           _xlfn.XLOOKUP(B151, MasterTable[IRA Custodian], MasterTable[City], ""), ", ",
           _xlfn.XLOOKUP(B151, MasterTable[IRA Custodian], MasterTable[State], ""), " ",
           _xlfn.XLOOKUP(B151, MasterTable[IRA Custodian], MasterTable[Zip], "")
       )
   )
)</f>
        <v>Empty Row</v>
      </c>
    </row>
    <row r="152" spans="1:10" x14ac:dyDescent="0.25">
      <c r="A152" t="str">
        <f>IF(D152="Empty Row", "Empty Row",
   _xlfn.LET(
       _xlpm.lookupResult, _xlfn.XLOOKUP(D152, RawDataTable[Account Name and Number], RawDataTable[Entity], "RAW DATA MISSING"),
       IF(ISBLANK(_xlpm.lookupResult), "RAW DATA MISSING", _xlpm.lookupResult)
   )
)</f>
        <v>Empty Row</v>
      </c>
      <c r="B152" t="str">
        <f>IF(D152="Empty Row", "Empty Row",
   _xlfn.LET(
       _xlpm.rawDataLookup, _xlfn.XLOOKUP(D152,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52" s="56" t="str" cm="1">
        <f t="array" ref="C152">IF(D152="Empty Row", "Empty Row",
   IF(COUNTIF('Name Mapping'!H:AD, D152) &gt; 0,
      INDEX('Name Mapping'!F:F, MATCH(TRUE, MMULT(--('Name Mapping'!H:AD=D152), TRANSPOSE(COLUMN('Name Mapping'!H:AD)^0)) &gt; 0, 0)),
      "")
)</f>
        <v>Empty Row</v>
      </c>
      <c r="D152" t="str">
        <f>IF(RawDataTable[[#This Row],[Account Name and Number]]&lt;&gt;"", RawDataTable[[#This Row],[Account Name and Number]], "Empty Row")</f>
        <v>Empty Row</v>
      </c>
      <c r="E152" s="28" t="str">
        <f>IF(D152="Empty Row", "Empty Row",
   _xlfn.LET(
       _xlpm.lookupResult, _xlfn.XLOOKUP(D152, RawDataTable[Account Name and Number], RawDataTable[Investment Date], "MISSING VALUE"),
       IF(ISNUMBER(_xlpm.lookupResult), _xlpm.lookupResult, "INVALID VALUE")
   )
)</f>
        <v>Empty Row</v>
      </c>
      <c r="F152" s="29" t="str">
        <f>IF(D152="Empty Row", "Empty Row",
   _xlfn.LET(
       _xlpm.lookupResult, _xlfn.XLOOKUP(D152, RawDataTable[Account Name and Number], RawDataTable[Investment Amount], "MISSING VALUE"),
       IF(ISNUMBER(_xlpm.lookupResult), _xlpm.lookupResult, "INVALID VALUE")
   )
)</f>
        <v>Empty Row</v>
      </c>
      <c r="G152" s="28" t="str">
        <f t="shared" ca="1" si="2"/>
        <v>Empty Row</v>
      </c>
      <c r="H152" s="29" t="str">
        <f>IF(D152="Empty Row", "Empty Row",
   _xlfn.LET(
       _xlpm.lookupResult, _xlfn.XLOOKUP(D152, RawDataTable[Account Name and Number], RawDataTable[Valuation Amount], "MISSING VALUE"),
       IF(ISNUMBER(_xlpm.lookupResult), _xlpm.lookupResult, "INVALID VALUE")
   )
)</f>
        <v>Empty Row</v>
      </c>
      <c r="I152" s="2" t="str">
        <f>IF(D152="Empty Row", "Empty Row", IF(_xlfn.XLOOKUP(B152, MasterTable[IRA Custodian], MasterTable[Address], "")="", "NO STREET NAME FOUND", _xlfn.XLOOKUP(B152, MasterTable[IRA Custodian], MasterTable[Address], "")))</f>
        <v>Empty Row</v>
      </c>
      <c r="J152" s="2" t="str">
        <f>IF(D152="Empty Row", "Empty Row",
   IF(OR(
       _xlfn.XLOOKUP(B152, MasterTable[IRA Custodian], MasterTable[City], "")="",
       _xlfn.XLOOKUP(B152, MasterTable[IRA Custodian], MasterTable[State], "")="",
       _xlfn.XLOOKUP(B152, MasterTable[IRA Custodian], MasterTable[Zip], "")=""),
       "INCOMPLETE ADDRESS",
       _xlfn.CONCAT(
           _xlfn.XLOOKUP(B152, MasterTable[IRA Custodian], MasterTable[City], ""), ", ",
           _xlfn.XLOOKUP(B152, MasterTable[IRA Custodian], MasterTable[State], ""), " ",
           _xlfn.XLOOKUP(B152, MasterTable[IRA Custodian], MasterTable[Zip], "")
       )
   )
)</f>
        <v>Empty Row</v>
      </c>
    </row>
    <row r="153" spans="1:10" x14ac:dyDescent="0.25">
      <c r="A153" t="str">
        <f>IF(D153="Empty Row", "Empty Row",
   _xlfn.LET(
       _xlpm.lookupResult, _xlfn.XLOOKUP(D153, RawDataTable[Account Name and Number], RawDataTable[Entity], "RAW DATA MISSING"),
       IF(ISBLANK(_xlpm.lookupResult), "RAW DATA MISSING", _xlpm.lookupResult)
   )
)</f>
        <v>Empty Row</v>
      </c>
      <c r="B153" t="str">
        <f>IF(D153="Empty Row", "Empty Row",
   _xlfn.LET(
       _xlpm.rawDataLookup, _xlfn.XLOOKUP(D153,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53" s="56" t="str" cm="1">
        <f t="array" ref="C153">IF(D153="Empty Row", "Empty Row",
   IF(COUNTIF('Name Mapping'!H:AD, D153) &gt; 0,
      INDEX('Name Mapping'!F:F, MATCH(TRUE, MMULT(--('Name Mapping'!H:AD=D153), TRANSPOSE(COLUMN('Name Mapping'!H:AD)^0)) &gt; 0, 0)),
      "")
)</f>
        <v>Empty Row</v>
      </c>
      <c r="D153" t="str">
        <f>IF(RawDataTable[[#This Row],[Account Name and Number]]&lt;&gt;"", RawDataTable[[#This Row],[Account Name and Number]], "Empty Row")</f>
        <v>Empty Row</v>
      </c>
      <c r="E153" s="28" t="str">
        <f>IF(D153="Empty Row", "Empty Row",
   _xlfn.LET(
       _xlpm.lookupResult, _xlfn.XLOOKUP(D153, RawDataTable[Account Name and Number], RawDataTable[Investment Date], "MISSING VALUE"),
       IF(ISNUMBER(_xlpm.lookupResult), _xlpm.lookupResult, "INVALID VALUE")
   )
)</f>
        <v>Empty Row</v>
      </c>
      <c r="F153" s="29" t="str">
        <f>IF(D153="Empty Row", "Empty Row",
   _xlfn.LET(
       _xlpm.lookupResult, _xlfn.XLOOKUP(D153, RawDataTable[Account Name and Number], RawDataTable[Investment Amount], "MISSING VALUE"),
       IF(ISNUMBER(_xlpm.lookupResult), _xlpm.lookupResult, "INVALID VALUE")
   )
)</f>
        <v>Empty Row</v>
      </c>
      <c r="G153" s="28" t="str">
        <f t="shared" ca="1" si="2"/>
        <v>Empty Row</v>
      </c>
      <c r="H153" s="29" t="str">
        <f>IF(D153="Empty Row", "Empty Row",
   _xlfn.LET(
       _xlpm.lookupResult, _xlfn.XLOOKUP(D153, RawDataTable[Account Name and Number], RawDataTable[Valuation Amount], "MISSING VALUE"),
       IF(ISNUMBER(_xlpm.lookupResult), _xlpm.lookupResult, "INVALID VALUE")
   )
)</f>
        <v>Empty Row</v>
      </c>
      <c r="I153" s="2" t="str">
        <f>IF(D153="Empty Row", "Empty Row", IF(_xlfn.XLOOKUP(B153, MasterTable[IRA Custodian], MasterTable[Address], "")="", "NO STREET NAME FOUND", _xlfn.XLOOKUP(B153, MasterTable[IRA Custodian], MasterTable[Address], "")))</f>
        <v>Empty Row</v>
      </c>
      <c r="J153" s="2" t="str">
        <f>IF(D153="Empty Row", "Empty Row",
   IF(OR(
       _xlfn.XLOOKUP(B153, MasterTable[IRA Custodian], MasterTable[City], "")="",
       _xlfn.XLOOKUP(B153, MasterTable[IRA Custodian], MasterTable[State], "")="",
       _xlfn.XLOOKUP(B153, MasterTable[IRA Custodian], MasterTable[Zip], "")=""),
       "INCOMPLETE ADDRESS",
       _xlfn.CONCAT(
           _xlfn.XLOOKUP(B153, MasterTable[IRA Custodian], MasterTable[City], ""), ", ",
           _xlfn.XLOOKUP(B153, MasterTable[IRA Custodian], MasterTable[State], ""), " ",
           _xlfn.XLOOKUP(B153, MasterTable[IRA Custodian], MasterTable[Zip], "")
       )
   )
)</f>
        <v>Empty Row</v>
      </c>
    </row>
    <row r="154" spans="1:10" x14ac:dyDescent="0.25">
      <c r="A154" t="str">
        <f>IF(D154="Empty Row", "Empty Row",
   _xlfn.LET(
       _xlpm.lookupResult, _xlfn.XLOOKUP(D154, RawDataTable[Account Name and Number], RawDataTable[Entity], "RAW DATA MISSING"),
       IF(ISBLANK(_xlpm.lookupResult), "RAW DATA MISSING", _xlpm.lookupResult)
   )
)</f>
        <v>Empty Row</v>
      </c>
      <c r="B154" t="str">
        <f>IF(D154="Empty Row", "Empty Row",
   _xlfn.LET(
       _xlpm.rawDataLookup, _xlfn.XLOOKUP(D154,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54" s="56" t="str" cm="1">
        <f t="array" ref="C154">IF(D154="Empty Row", "Empty Row",
   IF(COUNTIF('Name Mapping'!H:AD, D154) &gt; 0,
      INDEX('Name Mapping'!F:F, MATCH(TRUE, MMULT(--('Name Mapping'!H:AD=D154), TRANSPOSE(COLUMN('Name Mapping'!H:AD)^0)) &gt; 0, 0)),
      "")
)</f>
        <v>Empty Row</v>
      </c>
      <c r="D154" t="str">
        <f>IF(RawDataTable[[#This Row],[Account Name and Number]]&lt;&gt;"", RawDataTable[[#This Row],[Account Name and Number]], "Empty Row")</f>
        <v>Empty Row</v>
      </c>
      <c r="E154" s="28" t="str">
        <f>IF(D154="Empty Row", "Empty Row",
   _xlfn.LET(
       _xlpm.lookupResult, _xlfn.XLOOKUP(D154, RawDataTable[Account Name and Number], RawDataTable[Investment Date], "MISSING VALUE"),
       IF(ISNUMBER(_xlpm.lookupResult), _xlpm.lookupResult, "INVALID VALUE")
   )
)</f>
        <v>Empty Row</v>
      </c>
      <c r="F154" s="29" t="str">
        <f>IF(D154="Empty Row", "Empty Row",
   _xlfn.LET(
       _xlpm.lookupResult, _xlfn.XLOOKUP(D154, RawDataTable[Account Name and Number], RawDataTable[Investment Amount], "MISSING VALUE"),
       IF(ISNUMBER(_xlpm.lookupResult), _xlpm.lookupResult, "INVALID VALUE")
   )
)</f>
        <v>Empty Row</v>
      </c>
      <c r="G154" s="28" t="str">
        <f t="shared" ca="1" si="2"/>
        <v>Empty Row</v>
      </c>
      <c r="H154" s="29" t="str">
        <f>IF(D154="Empty Row", "Empty Row",
   _xlfn.LET(
       _xlpm.lookupResult, _xlfn.XLOOKUP(D154, RawDataTable[Account Name and Number], RawDataTable[Valuation Amount], "MISSING VALUE"),
       IF(ISNUMBER(_xlpm.lookupResult), _xlpm.lookupResult, "INVALID VALUE")
   )
)</f>
        <v>Empty Row</v>
      </c>
      <c r="I154" s="2" t="str">
        <f>IF(D154="Empty Row", "Empty Row", IF(_xlfn.XLOOKUP(B154, MasterTable[IRA Custodian], MasterTable[Address], "")="", "NO STREET NAME FOUND", _xlfn.XLOOKUP(B154, MasterTable[IRA Custodian], MasterTable[Address], "")))</f>
        <v>Empty Row</v>
      </c>
      <c r="J154" s="2" t="str">
        <f>IF(D154="Empty Row", "Empty Row",
   IF(OR(
       _xlfn.XLOOKUP(B154, MasterTable[IRA Custodian], MasterTable[City], "")="",
       _xlfn.XLOOKUP(B154, MasterTable[IRA Custodian], MasterTable[State], "")="",
       _xlfn.XLOOKUP(B154, MasterTable[IRA Custodian], MasterTable[Zip], "")=""),
       "INCOMPLETE ADDRESS",
       _xlfn.CONCAT(
           _xlfn.XLOOKUP(B154, MasterTable[IRA Custodian], MasterTable[City], ""), ", ",
           _xlfn.XLOOKUP(B154, MasterTable[IRA Custodian], MasterTable[State], ""), " ",
           _xlfn.XLOOKUP(B154, MasterTable[IRA Custodian], MasterTable[Zip], "")
       )
   )
)</f>
        <v>Empty Row</v>
      </c>
    </row>
    <row r="155" spans="1:10" x14ac:dyDescent="0.25">
      <c r="A155" t="str">
        <f>IF(D155="Empty Row", "Empty Row",
   _xlfn.LET(
       _xlpm.lookupResult, _xlfn.XLOOKUP(D155, RawDataTable[Account Name and Number], RawDataTable[Entity], "RAW DATA MISSING"),
       IF(ISBLANK(_xlpm.lookupResult), "RAW DATA MISSING", _xlpm.lookupResult)
   )
)</f>
        <v>Empty Row</v>
      </c>
      <c r="B155" t="str">
        <f>IF(D155="Empty Row", "Empty Row",
   _xlfn.LET(
       _xlpm.rawDataLookup, _xlfn.XLOOKUP(D155,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55" s="56" t="str" cm="1">
        <f t="array" ref="C155">IF(D155="Empty Row", "Empty Row",
   IF(COUNTIF('Name Mapping'!H:AD, D155) &gt; 0,
      INDEX('Name Mapping'!F:F, MATCH(TRUE, MMULT(--('Name Mapping'!H:AD=D155), TRANSPOSE(COLUMN('Name Mapping'!H:AD)^0)) &gt; 0, 0)),
      "")
)</f>
        <v>Empty Row</v>
      </c>
      <c r="D155" t="str">
        <f>IF(RawDataTable[[#This Row],[Account Name and Number]]&lt;&gt;"", RawDataTable[[#This Row],[Account Name and Number]], "Empty Row")</f>
        <v>Empty Row</v>
      </c>
      <c r="E155" s="28" t="str">
        <f>IF(D155="Empty Row", "Empty Row",
   _xlfn.LET(
       _xlpm.lookupResult, _xlfn.XLOOKUP(D155, RawDataTable[Account Name and Number], RawDataTable[Investment Date], "MISSING VALUE"),
       IF(ISNUMBER(_xlpm.lookupResult), _xlpm.lookupResult, "INVALID VALUE")
   )
)</f>
        <v>Empty Row</v>
      </c>
      <c r="F155" s="29" t="str">
        <f>IF(D155="Empty Row", "Empty Row",
   _xlfn.LET(
       _xlpm.lookupResult, _xlfn.XLOOKUP(D155, RawDataTable[Account Name and Number], RawDataTable[Investment Amount], "MISSING VALUE"),
       IF(ISNUMBER(_xlpm.lookupResult), _xlpm.lookupResult, "INVALID VALUE")
   )
)</f>
        <v>Empty Row</v>
      </c>
      <c r="G155" s="28" t="str">
        <f t="shared" ca="1" si="2"/>
        <v>Empty Row</v>
      </c>
      <c r="H155" s="29" t="str">
        <f>IF(D155="Empty Row", "Empty Row",
   _xlfn.LET(
       _xlpm.lookupResult, _xlfn.XLOOKUP(D155, RawDataTable[Account Name and Number], RawDataTable[Valuation Amount], "MISSING VALUE"),
       IF(ISNUMBER(_xlpm.lookupResult), _xlpm.lookupResult, "INVALID VALUE")
   )
)</f>
        <v>Empty Row</v>
      </c>
      <c r="I155" s="2" t="str">
        <f>IF(D155="Empty Row", "Empty Row", IF(_xlfn.XLOOKUP(B155, MasterTable[IRA Custodian], MasterTable[Address], "")="", "NO STREET NAME FOUND", _xlfn.XLOOKUP(B155, MasterTable[IRA Custodian], MasterTable[Address], "")))</f>
        <v>Empty Row</v>
      </c>
      <c r="J155" s="2" t="str">
        <f>IF(D155="Empty Row", "Empty Row",
   IF(OR(
       _xlfn.XLOOKUP(B155, MasterTable[IRA Custodian], MasterTable[City], "")="",
       _xlfn.XLOOKUP(B155, MasterTable[IRA Custodian], MasterTable[State], "")="",
       _xlfn.XLOOKUP(B155, MasterTable[IRA Custodian], MasterTable[Zip], "")=""),
       "INCOMPLETE ADDRESS",
       _xlfn.CONCAT(
           _xlfn.XLOOKUP(B155, MasterTable[IRA Custodian], MasterTable[City], ""), ", ",
           _xlfn.XLOOKUP(B155, MasterTable[IRA Custodian], MasterTable[State], ""), " ",
           _xlfn.XLOOKUP(B155, MasterTable[IRA Custodian], MasterTable[Zip], "")
       )
   )
)</f>
        <v>Empty Row</v>
      </c>
    </row>
    <row r="156" spans="1:10" x14ac:dyDescent="0.25">
      <c r="A156" t="str">
        <f>IF(D156="Empty Row", "Empty Row",
   _xlfn.LET(
       _xlpm.lookupResult, _xlfn.XLOOKUP(D156, RawDataTable[Account Name and Number], RawDataTable[Entity], "RAW DATA MISSING"),
       IF(ISBLANK(_xlpm.lookupResult), "RAW DATA MISSING", _xlpm.lookupResult)
   )
)</f>
        <v>Empty Row</v>
      </c>
      <c r="B156" t="str">
        <f>IF(D156="Empty Row", "Empty Row",
   _xlfn.LET(
       _xlpm.rawDataLookup, _xlfn.XLOOKUP(D156,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56" s="56" t="str" cm="1">
        <f t="array" ref="C156">IF(D156="Empty Row", "Empty Row",
   IF(COUNTIF('Name Mapping'!H:AD, D156) &gt; 0,
      INDEX('Name Mapping'!F:F, MATCH(TRUE, MMULT(--('Name Mapping'!H:AD=D156), TRANSPOSE(COLUMN('Name Mapping'!H:AD)^0)) &gt; 0, 0)),
      "")
)</f>
        <v>Empty Row</v>
      </c>
      <c r="D156" t="str">
        <f>IF(RawDataTable[[#This Row],[Account Name and Number]]&lt;&gt;"", RawDataTable[[#This Row],[Account Name and Number]], "Empty Row")</f>
        <v>Empty Row</v>
      </c>
      <c r="E156" s="28" t="str">
        <f>IF(D156="Empty Row", "Empty Row",
   _xlfn.LET(
       _xlpm.lookupResult, _xlfn.XLOOKUP(D156, RawDataTable[Account Name and Number], RawDataTable[Investment Date], "MISSING VALUE"),
       IF(ISNUMBER(_xlpm.lookupResult), _xlpm.lookupResult, "INVALID VALUE")
   )
)</f>
        <v>Empty Row</v>
      </c>
      <c r="F156" s="29" t="str">
        <f>IF(D156="Empty Row", "Empty Row",
   _xlfn.LET(
       _xlpm.lookupResult, _xlfn.XLOOKUP(D156, RawDataTable[Account Name and Number], RawDataTable[Investment Amount], "MISSING VALUE"),
       IF(ISNUMBER(_xlpm.lookupResult), _xlpm.lookupResult, "INVALID VALUE")
   )
)</f>
        <v>Empty Row</v>
      </c>
      <c r="G156" s="28" t="str">
        <f t="shared" ca="1" si="2"/>
        <v>Empty Row</v>
      </c>
      <c r="H156" s="29" t="str">
        <f>IF(D156="Empty Row", "Empty Row",
   _xlfn.LET(
       _xlpm.lookupResult, _xlfn.XLOOKUP(D156, RawDataTable[Account Name and Number], RawDataTable[Valuation Amount], "MISSING VALUE"),
       IF(ISNUMBER(_xlpm.lookupResult), _xlpm.lookupResult, "INVALID VALUE")
   )
)</f>
        <v>Empty Row</v>
      </c>
      <c r="I156" s="2" t="str">
        <f>IF(D156="Empty Row", "Empty Row", IF(_xlfn.XLOOKUP(B156, MasterTable[IRA Custodian], MasterTable[Address], "")="", "NO STREET NAME FOUND", _xlfn.XLOOKUP(B156, MasterTable[IRA Custodian], MasterTable[Address], "")))</f>
        <v>Empty Row</v>
      </c>
      <c r="J156" s="2" t="str">
        <f>IF(D156="Empty Row", "Empty Row",
   IF(OR(
       _xlfn.XLOOKUP(B156, MasterTable[IRA Custodian], MasterTable[City], "")="",
       _xlfn.XLOOKUP(B156, MasterTable[IRA Custodian], MasterTable[State], "")="",
       _xlfn.XLOOKUP(B156, MasterTable[IRA Custodian], MasterTable[Zip], "")=""),
       "INCOMPLETE ADDRESS",
       _xlfn.CONCAT(
           _xlfn.XLOOKUP(B156, MasterTable[IRA Custodian], MasterTable[City], ""), ", ",
           _xlfn.XLOOKUP(B156, MasterTable[IRA Custodian], MasterTable[State], ""), " ",
           _xlfn.XLOOKUP(B156, MasterTable[IRA Custodian], MasterTable[Zip], "")
       )
   )
)</f>
        <v>Empty Row</v>
      </c>
    </row>
    <row r="157" spans="1:10" x14ac:dyDescent="0.25">
      <c r="A157" t="str">
        <f>IF(D157="Empty Row", "Empty Row",
   _xlfn.LET(
       _xlpm.lookupResult, _xlfn.XLOOKUP(D157, RawDataTable[Account Name and Number], RawDataTable[Entity], "RAW DATA MISSING"),
       IF(ISBLANK(_xlpm.lookupResult), "RAW DATA MISSING", _xlpm.lookupResult)
   )
)</f>
        <v>Empty Row</v>
      </c>
      <c r="B157" t="str">
        <f>IF(D157="Empty Row", "Empty Row",
   _xlfn.LET(
       _xlpm.rawDataLookup, _xlfn.XLOOKUP(D157,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57" s="56" t="str" cm="1">
        <f t="array" ref="C157">IF(D157="Empty Row", "Empty Row",
   IF(COUNTIF('Name Mapping'!H:AD, D157) &gt; 0,
      INDEX('Name Mapping'!F:F, MATCH(TRUE, MMULT(--('Name Mapping'!H:AD=D157), TRANSPOSE(COLUMN('Name Mapping'!H:AD)^0)) &gt; 0, 0)),
      "")
)</f>
        <v>Empty Row</v>
      </c>
      <c r="D157" t="str">
        <f>IF(RawDataTable[[#This Row],[Account Name and Number]]&lt;&gt;"", RawDataTable[[#This Row],[Account Name and Number]], "Empty Row")</f>
        <v>Empty Row</v>
      </c>
      <c r="E157" s="28" t="str">
        <f>IF(D157="Empty Row", "Empty Row",
   _xlfn.LET(
       _xlpm.lookupResult, _xlfn.XLOOKUP(D157, RawDataTable[Account Name and Number], RawDataTable[Investment Date], "MISSING VALUE"),
       IF(ISNUMBER(_xlpm.lookupResult), _xlpm.lookupResult, "INVALID VALUE")
   )
)</f>
        <v>Empty Row</v>
      </c>
      <c r="F157" s="29" t="str">
        <f>IF(D157="Empty Row", "Empty Row",
   _xlfn.LET(
       _xlpm.lookupResult, _xlfn.XLOOKUP(D157, RawDataTable[Account Name and Number], RawDataTable[Investment Amount], "MISSING VALUE"),
       IF(ISNUMBER(_xlpm.lookupResult), _xlpm.lookupResult, "INVALID VALUE")
   )
)</f>
        <v>Empty Row</v>
      </c>
      <c r="G157" s="28" t="str">
        <f t="shared" ca="1" si="2"/>
        <v>Empty Row</v>
      </c>
      <c r="H157" s="29" t="str">
        <f>IF(D157="Empty Row", "Empty Row",
   _xlfn.LET(
       _xlpm.lookupResult, _xlfn.XLOOKUP(D157, RawDataTable[Account Name and Number], RawDataTable[Valuation Amount], "MISSING VALUE"),
       IF(ISNUMBER(_xlpm.lookupResult), _xlpm.lookupResult, "INVALID VALUE")
   )
)</f>
        <v>Empty Row</v>
      </c>
      <c r="I157" s="2" t="str">
        <f>IF(D157="Empty Row", "Empty Row", IF(_xlfn.XLOOKUP(B157, MasterTable[IRA Custodian], MasterTable[Address], "")="", "NO STREET NAME FOUND", _xlfn.XLOOKUP(B157, MasterTable[IRA Custodian], MasterTable[Address], "")))</f>
        <v>Empty Row</v>
      </c>
      <c r="J157" s="2" t="str">
        <f>IF(D157="Empty Row", "Empty Row",
   IF(OR(
       _xlfn.XLOOKUP(B157, MasterTable[IRA Custodian], MasterTable[City], "")="",
       _xlfn.XLOOKUP(B157, MasterTable[IRA Custodian], MasterTable[State], "")="",
       _xlfn.XLOOKUP(B157, MasterTable[IRA Custodian], MasterTable[Zip], "")=""),
       "INCOMPLETE ADDRESS",
       _xlfn.CONCAT(
           _xlfn.XLOOKUP(B157, MasterTable[IRA Custodian], MasterTable[City], ""), ", ",
           _xlfn.XLOOKUP(B157, MasterTable[IRA Custodian], MasterTable[State], ""), " ",
           _xlfn.XLOOKUP(B157, MasterTable[IRA Custodian], MasterTable[Zip], "")
       )
   )
)</f>
        <v>Empty Row</v>
      </c>
    </row>
    <row r="158" spans="1:10" x14ac:dyDescent="0.25">
      <c r="A158" t="str">
        <f>IF(D158="Empty Row", "Empty Row",
   _xlfn.LET(
       _xlpm.lookupResult, _xlfn.XLOOKUP(D158, RawDataTable[Account Name and Number], RawDataTable[Entity], "RAW DATA MISSING"),
       IF(ISBLANK(_xlpm.lookupResult), "RAW DATA MISSING", _xlpm.lookupResult)
   )
)</f>
        <v>Empty Row</v>
      </c>
      <c r="B158" t="str">
        <f>IF(D158="Empty Row", "Empty Row",
   _xlfn.LET(
       _xlpm.rawDataLookup, _xlfn.XLOOKUP(D158,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58" s="56" t="str" cm="1">
        <f t="array" ref="C158">IF(D158="Empty Row", "Empty Row",
   IF(COUNTIF('Name Mapping'!H:AD, D158) &gt; 0,
      INDEX('Name Mapping'!F:F, MATCH(TRUE, MMULT(--('Name Mapping'!H:AD=D158), TRANSPOSE(COLUMN('Name Mapping'!H:AD)^0)) &gt; 0, 0)),
      "")
)</f>
        <v>Empty Row</v>
      </c>
      <c r="D158" t="str">
        <f>IF(RawDataTable[[#This Row],[Account Name and Number]]&lt;&gt;"", RawDataTable[[#This Row],[Account Name and Number]], "Empty Row")</f>
        <v>Empty Row</v>
      </c>
      <c r="E158" s="28" t="str">
        <f>IF(D158="Empty Row", "Empty Row",
   _xlfn.LET(
       _xlpm.lookupResult, _xlfn.XLOOKUP(D158, RawDataTable[Account Name and Number], RawDataTable[Investment Date], "MISSING VALUE"),
       IF(ISNUMBER(_xlpm.lookupResult), _xlpm.lookupResult, "INVALID VALUE")
   )
)</f>
        <v>Empty Row</v>
      </c>
      <c r="F158" s="29" t="str">
        <f>IF(D158="Empty Row", "Empty Row",
   _xlfn.LET(
       _xlpm.lookupResult, _xlfn.XLOOKUP(D158, RawDataTable[Account Name and Number], RawDataTable[Investment Amount], "MISSING VALUE"),
       IF(ISNUMBER(_xlpm.lookupResult), _xlpm.lookupResult, "INVALID VALUE")
   )
)</f>
        <v>Empty Row</v>
      </c>
      <c r="G158" s="28" t="str">
        <f t="shared" ca="1" si="2"/>
        <v>Empty Row</v>
      </c>
      <c r="H158" s="29" t="str">
        <f>IF(D158="Empty Row", "Empty Row",
   _xlfn.LET(
       _xlpm.lookupResult, _xlfn.XLOOKUP(D158, RawDataTable[Account Name and Number], RawDataTable[Valuation Amount], "MISSING VALUE"),
       IF(ISNUMBER(_xlpm.lookupResult), _xlpm.lookupResult, "INVALID VALUE")
   )
)</f>
        <v>Empty Row</v>
      </c>
      <c r="I158" s="2" t="str">
        <f>IF(D158="Empty Row", "Empty Row", IF(_xlfn.XLOOKUP(B158, MasterTable[IRA Custodian], MasterTable[Address], "")="", "NO STREET NAME FOUND", _xlfn.XLOOKUP(B158, MasterTable[IRA Custodian], MasterTable[Address], "")))</f>
        <v>Empty Row</v>
      </c>
      <c r="J158" s="2" t="str">
        <f>IF(D158="Empty Row", "Empty Row",
   IF(OR(
       _xlfn.XLOOKUP(B158, MasterTable[IRA Custodian], MasterTable[City], "")="",
       _xlfn.XLOOKUP(B158, MasterTable[IRA Custodian], MasterTable[State], "")="",
       _xlfn.XLOOKUP(B158, MasterTable[IRA Custodian], MasterTable[Zip], "")=""),
       "INCOMPLETE ADDRESS",
       _xlfn.CONCAT(
           _xlfn.XLOOKUP(B158, MasterTable[IRA Custodian], MasterTable[City], ""), ", ",
           _xlfn.XLOOKUP(B158, MasterTable[IRA Custodian], MasterTable[State], ""), " ",
           _xlfn.XLOOKUP(B158, MasterTable[IRA Custodian], MasterTable[Zip], "")
       )
   )
)</f>
        <v>Empty Row</v>
      </c>
    </row>
    <row r="159" spans="1:10" x14ac:dyDescent="0.25">
      <c r="A159" t="str">
        <f>IF(D159="Empty Row", "Empty Row",
   _xlfn.LET(
       _xlpm.lookupResult, _xlfn.XLOOKUP(D159, RawDataTable[Account Name and Number], RawDataTable[Entity], "RAW DATA MISSING"),
       IF(ISBLANK(_xlpm.lookupResult), "RAW DATA MISSING", _xlpm.lookupResult)
   )
)</f>
        <v>Empty Row</v>
      </c>
      <c r="B159" t="str">
        <f>IF(D159="Empty Row", "Empty Row",
   _xlfn.LET(
       _xlpm.rawDataLookup, _xlfn.XLOOKUP(D159,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59" s="56" t="str" cm="1">
        <f t="array" ref="C159">IF(D159="Empty Row", "Empty Row",
   IF(COUNTIF('Name Mapping'!H:AD, D159) &gt; 0,
      INDEX('Name Mapping'!F:F, MATCH(TRUE, MMULT(--('Name Mapping'!H:AD=D159), TRANSPOSE(COLUMN('Name Mapping'!H:AD)^0)) &gt; 0, 0)),
      "")
)</f>
        <v>Empty Row</v>
      </c>
      <c r="D159" t="str">
        <f>IF(RawDataTable[[#This Row],[Account Name and Number]]&lt;&gt;"", RawDataTable[[#This Row],[Account Name and Number]], "Empty Row")</f>
        <v>Empty Row</v>
      </c>
      <c r="E159" s="28" t="str">
        <f>IF(D159="Empty Row", "Empty Row",
   _xlfn.LET(
       _xlpm.lookupResult, _xlfn.XLOOKUP(D159, RawDataTable[Account Name and Number], RawDataTable[Investment Date], "MISSING VALUE"),
       IF(ISNUMBER(_xlpm.lookupResult), _xlpm.lookupResult, "INVALID VALUE")
   )
)</f>
        <v>Empty Row</v>
      </c>
      <c r="F159" s="29" t="str">
        <f>IF(D159="Empty Row", "Empty Row",
   _xlfn.LET(
       _xlpm.lookupResult, _xlfn.XLOOKUP(D159, RawDataTable[Account Name and Number], RawDataTable[Investment Amount], "MISSING VALUE"),
       IF(ISNUMBER(_xlpm.lookupResult), _xlpm.lookupResult, "INVALID VALUE")
   )
)</f>
        <v>Empty Row</v>
      </c>
      <c r="G159" s="28" t="str">
        <f t="shared" ca="1" si="2"/>
        <v>Empty Row</v>
      </c>
      <c r="H159" s="29" t="str">
        <f>IF(D159="Empty Row", "Empty Row",
   _xlfn.LET(
       _xlpm.lookupResult, _xlfn.XLOOKUP(D159, RawDataTable[Account Name and Number], RawDataTable[Valuation Amount], "MISSING VALUE"),
       IF(ISNUMBER(_xlpm.lookupResult), _xlpm.lookupResult, "INVALID VALUE")
   )
)</f>
        <v>Empty Row</v>
      </c>
      <c r="I159" s="2" t="str">
        <f>IF(D159="Empty Row", "Empty Row", IF(_xlfn.XLOOKUP(B159, MasterTable[IRA Custodian], MasterTable[Address], "")="", "NO STREET NAME FOUND", _xlfn.XLOOKUP(B159, MasterTable[IRA Custodian], MasterTable[Address], "")))</f>
        <v>Empty Row</v>
      </c>
      <c r="J159" s="2" t="str">
        <f>IF(D159="Empty Row", "Empty Row",
   IF(OR(
       _xlfn.XLOOKUP(B159, MasterTable[IRA Custodian], MasterTable[City], "")="",
       _xlfn.XLOOKUP(B159, MasterTable[IRA Custodian], MasterTable[State], "")="",
       _xlfn.XLOOKUP(B159, MasterTable[IRA Custodian], MasterTable[Zip], "")=""),
       "INCOMPLETE ADDRESS",
       _xlfn.CONCAT(
           _xlfn.XLOOKUP(B159, MasterTable[IRA Custodian], MasterTable[City], ""), ", ",
           _xlfn.XLOOKUP(B159, MasterTable[IRA Custodian], MasterTable[State], ""), " ",
           _xlfn.XLOOKUP(B159, MasterTable[IRA Custodian], MasterTable[Zip], "")
       )
   )
)</f>
        <v>Empty Row</v>
      </c>
    </row>
    <row r="160" spans="1:10" x14ac:dyDescent="0.25">
      <c r="A160" t="str">
        <f>IF(D160="Empty Row", "Empty Row",
   _xlfn.LET(
       _xlpm.lookupResult, _xlfn.XLOOKUP(D160, RawDataTable[Account Name and Number], RawDataTable[Entity], "RAW DATA MISSING"),
       IF(ISBLANK(_xlpm.lookupResult), "RAW DATA MISSING", _xlpm.lookupResult)
   )
)</f>
        <v>Empty Row</v>
      </c>
      <c r="B160" t="str">
        <f>IF(D160="Empty Row", "Empty Row",
   _xlfn.LET(
       _xlpm.rawDataLookup, _xlfn.XLOOKUP(D160,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60" s="56" t="str" cm="1">
        <f t="array" ref="C160">IF(D160="Empty Row", "Empty Row",
   IF(COUNTIF('Name Mapping'!H:AD, D160) &gt; 0,
      INDEX('Name Mapping'!F:F, MATCH(TRUE, MMULT(--('Name Mapping'!H:AD=D160), TRANSPOSE(COLUMN('Name Mapping'!H:AD)^0)) &gt; 0, 0)),
      "")
)</f>
        <v>Empty Row</v>
      </c>
      <c r="D160" t="str">
        <f>IF(RawDataTable[[#This Row],[Account Name and Number]]&lt;&gt;"", RawDataTable[[#This Row],[Account Name and Number]], "Empty Row")</f>
        <v>Empty Row</v>
      </c>
      <c r="E160" s="28" t="str">
        <f>IF(D160="Empty Row", "Empty Row",
   _xlfn.LET(
       _xlpm.lookupResult, _xlfn.XLOOKUP(D160, RawDataTable[Account Name and Number], RawDataTable[Investment Date], "MISSING VALUE"),
       IF(ISNUMBER(_xlpm.lookupResult), _xlpm.lookupResult, "INVALID VALUE")
   )
)</f>
        <v>Empty Row</v>
      </c>
      <c r="F160" s="29" t="str">
        <f>IF(D160="Empty Row", "Empty Row",
   _xlfn.LET(
       _xlpm.lookupResult, _xlfn.XLOOKUP(D160, RawDataTable[Account Name and Number], RawDataTable[Investment Amount], "MISSING VALUE"),
       IF(ISNUMBER(_xlpm.lookupResult), _xlpm.lookupResult, "INVALID VALUE")
   )
)</f>
        <v>Empty Row</v>
      </c>
      <c r="G160" s="28" t="str">
        <f t="shared" ca="1" si="2"/>
        <v>Empty Row</v>
      </c>
      <c r="H160" s="29" t="str">
        <f>IF(D160="Empty Row", "Empty Row",
   _xlfn.LET(
       _xlpm.lookupResult, _xlfn.XLOOKUP(D160, RawDataTable[Account Name and Number], RawDataTable[Valuation Amount], "MISSING VALUE"),
       IF(ISNUMBER(_xlpm.lookupResult), _xlpm.lookupResult, "INVALID VALUE")
   )
)</f>
        <v>Empty Row</v>
      </c>
      <c r="I160" s="2" t="str">
        <f>IF(D160="Empty Row", "Empty Row", IF(_xlfn.XLOOKUP(B160, MasterTable[IRA Custodian], MasterTable[Address], "")="", "NO STREET NAME FOUND", _xlfn.XLOOKUP(B160, MasterTable[IRA Custodian], MasterTable[Address], "")))</f>
        <v>Empty Row</v>
      </c>
      <c r="J160" s="2" t="str">
        <f>IF(D160="Empty Row", "Empty Row",
   IF(OR(
       _xlfn.XLOOKUP(B160, MasterTable[IRA Custodian], MasterTable[City], "")="",
       _xlfn.XLOOKUP(B160, MasterTable[IRA Custodian], MasterTable[State], "")="",
       _xlfn.XLOOKUP(B160, MasterTable[IRA Custodian], MasterTable[Zip], "")=""),
       "INCOMPLETE ADDRESS",
       _xlfn.CONCAT(
           _xlfn.XLOOKUP(B160, MasterTable[IRA Custodian], MasterTable[City], ""), ", ",
           _xlfn.XLOOKUP(B160, MasterTable[IRA Custodian], MasterTable[State], ""), " ",
           _xlfn.XLOOKUP(B160, MasterTable[IRA Custodian], MasterTable[Zip], "")
       )
   )
)</f>
        <v>Empty Row</v>
      </c>
    </row>
    <row r="161" spans="1:10" x14ac:dyDescent="0.25">
      <c r="A161" t="str">
        <f>IF(D161="Empty Row", "Empty Row",
   _xlfn.LET(
       _xlpm.lookupResult, _xlfn.XLOOKUP(D161, RawDataTable[Account Name and Number], RawDataTable[Entity], "RAW DATA MISSING"),
       IF(ISBLANK(_xlpm.lookupResult), "RAW DATA MISSING", _xlpm.lookupResult)
   )
)</f>
        <v>Empty Row</v>
      </c>
      <c r="B161" t="str">
        <f>IF(D161="Empty Row", "Empty Row",
   _xlfn.LET(
       _xlpm.rawDataLookup, _xlfn.XLOOKUP(D161,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61" s="56" t="str" cm="1">
        <f t="array" ref="C161">IF(D161="Empty Row", "Empty Row",
   IF(COUNTIF('Name Mapping'!H:AD, D161) &gt; 0,
      INDEX('Name Mapping'!F:F, MATCH(TRUE, MMULT(--('Name Mapping'!H:AD=D161), TRANSPOSE(COLUMN('Name Mapping'!H:AD)^0)) &gt; 0, 0)),
      "")
)</f>
        <v>Empty Row</v>
      </c>
      <c r="D161" t="str">
        <f>IF(RawDataTable[[#This Row],[Account Name and Number]]&lt;&gt;"", RawDataTable[[#This Row],[Account Name and Number]], "Empty Row")</f>
        <v>Empty Row</v>
      </c>
      <c r="E161" s="28" t="str">
        <f>IF(D161="Empty Row", "Empty Row",
   _xlfn.LET(
       _xlpm.lookupResult, _xlfn.XLOOKUP(D161, RawDataTable[Account Name and Number], RawDataTable[Investment Date], "MISSING VALUE"),
       IF(ISNUMBER(_xlpm.lookupResult), _xlpm.lookupResult, "INVALID VALUE")
   )
)</f>
        <v>Empty Row</v>
      </c>
      <c r="F161" s="29" t="str">
        <f>IF(D161="Empty Row", "Empty Row",
   _xlfn.LET(
       _xlpm.lookupResult, _xlfn.XLOOKUP(D161, RawDataTable[Account Name and Number], RawDataTable[Investment Amount], "MISSING VALUE"),
       IF(ISNUMBER(_xlpm.lookupResult), _xlpm.lookupResult, "INVALID VALUE")
   )
)</f>
        <v>Empty Row</v>
      </c>
      <c r="G161" s="28" t="str">
        <f t="shared" ca="1" si="2"/>
        <v>Empty Row</v>
      </c>
      <c r="H161" s="29" t="str">
        <f>IF(D161="Empty Row", "Empty Row",
   _xlfn.LET(
       _xlpm.lookupResult, _xlfn.XLOOKUP(D161, RawDataTable[Account Name and Number], RawDataTable[Valuation Amount], "MISSING VALUE"),
       IF(ISNUMBER(_xlpm.lookupResult), _xlpm.lookupResult, "INVALID VALUE")
   )
)</f>
        <v>Empty Row</v>
      </c>
      <c r="I161" s="2" t="str">
        <f>IF(D161="Empty Row", "Empty Row", IF(_xlfn.XLOOKUP(B161, MasterTable[IRA Custodian], MasterTable[Address], "")="", "NO STREET NAME FOUND", _xlfn.XLOOKUP(B161, MasterTable[IRA Custodian], MasterTable[Address], "")))</f>
        <v>Empty Row</v>
      </c>
      <c r="J161" s="2" t="str">
        <f>IF(D161="Empty Row", "Empty Row",
   IF(OR(
       _xlfn.XLOOKUP(B161, MasterTable[IRA Custodian], MasterTable[City], "")="",
       _xlfn.XLOOKUP(B161, MasterTable[IRA Custodian], MasterTable[State], "")="",
       _xlfn.XLOOKUP(B161, MasterTable[IRA Custodian], MasterTable[Zip], "")=""),
       "INCOMPLETE ADDRESS",
       _xlfn.CONCAT(
           _xlfn.XLOOKUP(B161, MasterTable[IRA Custodian], MasterTable[City], ""), ", ",
           _xlfn.XLOOKUP(B161, MasterTable[IRA Custodian], MasterTable[State], ""), " ",
           _xlfn.XLOOKUP(B161, MasterTable[IRA Custodian], MasterTable[Zip], "")
       )
   )
)</f>
        <v>Empty Row</v>
      </c>
    </row>
    <row r="162" spans="1:10" x14ac:dyDescent="0.25">
      <c r="A162" t="str">
        <f>IF(D162="Empty Row", "Empty Row",
   _xlfn.LET(
       _xlpm.lookupResult, _xlfn.XLOOKUP(D162, RawDataTable[Account Name and Number], RawDataTable[Entity], "RAW DATA MISSING"),
       IF(ISBLANK(_xlpm.lookupResult), "RAW DATA MISSING", _xlpm.lookupResult)
   )
)</f>
        <v>Empty Row</v>
      </c>
      <c r="B162" t="str">
        <f>IF(D162="Empty Row", "Empty Row",
   _xlfn.LET(
       _xlpm.rawDataLookup, _xlfn.XLOOKUP(D162,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62" s="56" t="str" cm="1">
        <f t="array" ref="C162">IF(D162="Empty Row", "Empty Row",
   IF(COUNTIF('Name Mapping'!H:AD, D162) &gt; 0,
      INDEX('Name Mapping'!F:F, MATCH(TRUE, MMULT(--('Name Mapping'!H:AD=D162), TRANSPOSE(COLUMN('Name Mapping'!H:AD)^0)) &gt; 0, 0)),
      "")
)</f>
        <v>Empty Row</v>
      </c>
      <c r="D162" t="str">
        <f>IF(RawDataTable[[#This Row],[Account Name and Number]]&lt;&gt;"", RawDataTable[[#This Row],[Account Name and Number]], "Empty Row")</f>
        <v>Empty Row</v>
      </c>
      <c r="E162" s="28" t="str">
        <f>IF(D162="Empty Row", "Empty Row",
   _xlfn.LET(
       _xlpm.lookupResult, _xlfn.XLOOKUP(D162, RawDataTable[Account Name and Number], RawDataTable[Investment Date], "MISSING VALUE"),
       IF(ISNUMBER(_xlpm.lookupResult), _xlpm.lookupResult, "INVALID VALUE")
   )
)</f>
        <v>Empty Row</v>
      </c>
      <c r="F162" s="29" t="str">
        <f>IF(D162="Empty Row", "Empty Row",
   _xlfn.LET(
       _xlpm.lookupResult, _xlfn.XLOOKUP(D162, RawDataTable[Account Name and Number], RawDataTable[Investment Amount], "MISSING VALUE"),
       IF(ISNUMBER(_xlpm.lookupResult), _xlpm.lookupResult, "INVALID VALUE")
   )
)</f>
        <v>Empty Row</v>
      </c>
      <c r="G162" s="28" t="str">
        <f t="shared" ca="1" si="2"/>
        <v>Empty Row</v>
      </c>
      <c r="H162" s="29" t="str">
        <f>IF(D162="Empty Row", "Empty Row",
   _xlfn.LET(
       _xlpm.lookupResult, _xlfn.XLOOKUP(D162, RawDataTable[Account Name and Number], RawDataTable[Valuation Amount], "MISSING VALUE"),
       IF(ISNUMBER(_xlpm.lookupResult), _xlpm.lookupResult, "INVALID VALUE")
   )
)</f>
        <v>Empty Row</v>
      </c>
      <c r="I162" s="2" t="str">
        <f>IF(D162="Empty Row", "Empty Row", IF(_xlfn.XLOOKUP(B162, MasterTable[IRA Custodian], MasterTable[Address], "")="", "NO STREET NAME FOUND", _xlfn.XLOOKUP(B162, MasterTable[IRA Custodian], MasterTable[Address], "")))</f>
        <v>Empty Row</v>
      </c>
      <c r="J162" s="2" t="str">
        <f>IF(D162="Empty Row", "Empty Row",
   IF(OR(
       _xlfn.XLOOKUP(B162, MasterTable[IRA Custodian], MasterTable[City], "")="",
       _xlfn.XLOOKUP(B162, MasterTable[IRA Custodian], MasterTable[State], "")="",
       _xlfn.XLOOKUP(B162, MasterTable[IRA Custodian], MasterTable[Zip], "")=""),
       "INCOMPLETE ADDRESS",
       _xlfn.CONCAT(
           _xlfn.XLOOKUP(B162, MasterTable[IRA Custodian], MasterTable[City], ""), ", ",
           _xlfn.XLOOKUP(B162, MasterTable[IRA Custodian], MasterTable[State], ""), " ",
           _xlfn.XLOOKUP(B162, MasterTable[IRA Custodian], MasterTable[Zip], "")
       )
   )
)</f>
        <v>Empty Row</v>
      </c>
    </row>
    <row r="163" spans="1:10" x14ac:dyDescent="0.25">
      <c r="A163" t="str">
        <f>IF(D163="Empty Row", "Empty Row",
   _xlfn.LET(
       _xlpm.lookupResult, _xlfn.XLOOKUP(D163, RawDataTable[Account Name and Number], RawDataTable[Entity], "RAW DATA MISSING"),
       IF(ISBLANK(_xlpm.lookupResult), "RAW DATA MISSING", _xlpm.lookupResult)
   )
)</f>
        <v>Empty Row</v>
      </c>
      <c r="B163" t="str">
        <f>IF(D163="Empty Row", "Empty Row",
   _xlfn.LET(
       _xlpm.rawDataLookup, _xlfn.XLOOKUP(D163,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63" s="56" t="str" cm="1">
        <f t="array" ref="C163">IF(D163="Empty Row", "Empty Row",
   IF(COUNTIF('Name Mapping'!H:AD, D163) &gt; 0,
      INDEX('Name Mapping'!F:F, MATCH(TRUE, MMULT(--('Name Mapping'!H:AD=D163), TRANSPOSE(COLUMN('Name Mapping'!H:AD)^0)) &gt; 0, 0)),
      "")
)</f>
        <v>Empty Row</v>
      </c>
      <c r="D163" t="str">
        <f>IF(RawDataTable[[#This Row],[Account Name and Number]]&lt;&gt;"", RawDataTable[[#This Row],[Account Name and Number]], "Empty Row")</f>
        <v>Empty Row</v>
      </c>
      <c r="E163" s="28" t="str">
        <f>IF(D163="Empty Row", "Empty Row",
   _xlfn.LET(
       _xlpm.lookupResult, _xlfn.XLOOKUP(D163, RawDataTable[Account Name and Number], RawDataTable[Investment Date], "MISSING VALUE"),
       IF(ISNUMBER(_xlpm.lookupResult), _xlpm.lookupResult, "INVALID VALUE")
   )
)</f>
        <v>Empty Row</v>
      </c>
      <c r="F163" s="29" t="str">
        <f>IF(D163="Empty Row", "Empty Row",
   _xlfn.LET(
       _xlpm.lookupResult, _xlfn.XLOOKUP(D163, RawDataTable[Account Name and Number], RawDataTable[Investment Amount], "MISSING VALUE"),
       IF(ISNUMBER(_xlpm.lookupResult), _xlpm.lookupResult, "INVALID VALUE")
   )
)</f>
        <v>Empty Row</v>
      </c>
      <c r="G163" s="28" t="str">
        <f t="shared" ca="1" si="2"/>
        <v>Empty Row</v>
      </c>
      <c r="H163" s="29" t="str">
        <f>IF(D163="Empty Row", "Empty Row",
   _xlfn.LET(
       _xlpm.lookupResult, _xlfn.XLOOKUP(D163, RawDataTable[Account Name and Number], RawDataTable[Valuation Amount], "MISSING VALUE"),
       IF(ISNUMBER(_xlpm.lookupResult), _xlpm.lookupResult, "INVALID VALUE")
   )
)</f>
        <v>Empty Row</v>
      </c>
      <c r="I163" s="2" t="str">
        <f>IF(D163="Empty Row", "Empty Row", IF(_xlfn.XLOOKUP(B163, MasterTable[IRA Custodian], MasterTable[Address], "")="", "NO STREET NAME FOUND", _xlfn.XLOOKUP(B163, MasterTable[IRA Custodian], MasterTable[Address], "")))</f>
        <v>Empty Row</v>
      </c>
      <c r="J163" s="2" t="str">
        <f>IF(D163="Empty Row", "Empty Row",
   IF(OR(
       _xlfn.XLOOKUP(B163, MasterTable[IRA Custodian], MasterTable[City], "")="",
       _xlfn.XLOOKUP(B163, MasterTable[IRA Custodian], MasterTable[State], "")="",
       _xlfn.XLOOKUP(B163, MasterTable[IRA Custodian], MasterTable[Zip], "")=""),
       "INCOMPLETE ADDRESS",
       _xlfn.CONCAT(
           _xlfn.XLOOKUP(B163, MasterTable[IRA Custodian], MasterTable[City], ""), ", ",
           _xlfn.XLOOKUP(B163, MasterTable[IRA Custodian], MasterTable[State], ""), " ",
           _xlfn.XLOOKUP(B163, MasterTable[IRA Custodian], MasterTable[Zip], "")
       )
   )
)</f>
        <v>Empty Row</v>
      </c>
    </row>
    <row r="164" spans="1:10" x14ac:dyDescent="0.25">
      <c r="A164" t="str">
        <f>IF(D164="Empty Row", "Empty Row",
   _xlfn.LET(
       _xlpm.lookupResult, _xlfn.XLOOKUP(D164, RawDataTable[Account Name and Number], RawDataTable[Entity], "RAW DATA MISSING"),
       IF(ISBLANK(_xlpm.lookupResult), "RAW DATA MISSING", _xlpm.lookupResult)
   )
)</f>
        <v>Empty Row</v>
      </c>
      <c r="B164" t="str">
        <f>IF(D164="Empty Row", "Empty Row",
   _xlfn.LET(
       _xlpm.rawDataLookup, _xlfn.XLOOKUP(D164,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64" s="56" t="str" cm="1">
        <f t="array" ref="C164">IF(D164="Empty Row", "Empty Row",
   IF(COUNTIF('Name Mapping'!H:AD, D164) &gt; 0,
      INDEX('Name Mapping'!F:F, MATCH(TRUE, MMULT(--('Name Mapping'!H:AD=D164), TRANSPOSE(COLUMN('Name Mapping'!H:AD)^0)) &gt; 0, 0)),
      "")
)</f>
        <v>Empty Row</v>
      </c>
      <c r="D164" t="str">
        <f>IF(RawDataTable[[#This Row],[Account Name and Number]]&lt;&gt;"", RawDataTable[[#This Row],[Account Name and Number]], "Empty Row")</f>
        <v>Empty Row</v>
      </c>
      <c r="E164" s="28" t="str">
        <f>IF(D164="Empty Row", "Empty Row",
   _xlfn.LET(
       _xlpm.lookupResult, _xlfn.XLOOKUP(D164, RawDataTable[Account Name and Number], RawDataTable[Investment Date], "MISSING VALUE"),
       IF(ISNUMBER(_xlpm.lookupResult), _xlpm.lookupResult, "INVALID VALUE")
   )
)</f>
        <v>Empty Row</v>
      </c>
      <c r="F164" s="29" t="str">
        <f>IF(D164="Empty Row", "Empty Row",
   _xlfn.LET(
       _xlpm.lookupResult, _xlfn.XLOOKUP(D164, RawDataTable[Account Name and Number], RawDataTable[Investment Amount], "MISSING VALUE"),
       IF(ISNUMBER(_xlpm.lookupResult), _xlpm.lookupResult, "INVALID VALUE")
   )
)</f>
        <v>Empty Row</v>
      </c>
      <c r="G164" s="28" t="str">
        <f t="shared" ca="1" si="2"/>
        <v>Empty Row</v>
      </c>
      <c r="H164" s="29" t="str">
        <f>IF(D164="Empty Row", "Empty Row",
   _xlfn.LET(
       _xlpm.lookupResult, _xlfn.XLOOKUP(D164, RawDataTable[Account Name and Number], RawDataTable[Valuation Amount], "MISSING VALUE"),
       IF(ISNUMBER(_xlpm.lookupResult), _xlpm.lookupResult, "INVALID VALUE")
   )
)</f>
        <v>Empty Row</v>
      </c>
      <c r="I164" s="2" t="str">
        <f>IF(D164="Empty Row", "Empty Row", IF(_xlfn.XLOOKUP(B164, MasterTable[IRA Custodian], MasterTable[Address], "")="", "NO STREET NAME FOUND", _xlfn.XLOOKUP(B164, MasterTable[IRA Custodian], MasterTable[Address], "")))</f>
        <v>Empty Row</v>
      </c>
      <c r="J164" s="2" t="str">
        <f>IF(D164="Empty Row", "Empty Row",
   IF(OR(
       _xlfn.XLOOKUP(B164, MasterTable[IRA Custodian], MasterTable[City], "")="",
       _xlfn.XLOOKUP(B164, MasterTable[IRA Custodian], MasterTable[State], "")="",
       _xlfn.XLOOKUP(B164, MasterTable[IRA Custodian], MasterTable[Zip], "")=""),
       "INCOMPLETE ADDRESS",
       _xlfn.CONCAT(
           _xlfn.XLOOKUP(B164, MasterTable[IRA Custodian], MasterTable[City], ""), ", ",
           _xlfn.XLOOKUP(B164, MasterTable[IRA Custodian], MasterTable[State], ""), " ",
           _xlfn.XLOOKUP(B164, MasterTable[IRA Custodian], MasterTable[Zip], "")
       )
   )
)</f>
        <v>Empty Row</v>
      </c>
    </row>
    <row r="165" spans="1:10" x14ac:dyDescent="0.25">
      <c r="A165" t="str">
        <f>IF(D165="Empty Row", "Empty Row",
   _xlfn.LET(
       _xlpm.lookupResult, _xlfn.XLOOKUP(D165, RawDataTable[Account Name and Number], RawDataTable[Entity], "RAW DATA MISSING"),
       IF(ISBLANK(_xlpm.lookupResult), "RAW DATA MISSING", _xlpm.lookupResult)
   )
)</f>
        <v>Empty Row</v>
      </c>
      <c r="B165" t="str">
        <f>IF(D165="Empty Row", "Empty Row",
   _xlfn.LET(
       _xlpm.rawDataLookup, _xlfn.XLOOKUP(D165,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65" s="56" t="str" cm="1">
        <f t="array" ref="C165">IF(D165="Empty Row", "Empty Row",
   IF(COUNTIF('Name Mapping'!H:AD, D165) &gt; 0,
      INDEX('Name Mapping'!F:F, MATCH(TRUE, MMULT(--('Name Mapping'!H:AD=D165), TRANSPOSE(COLUMN('Name Mapping'!H:AD)^0)) &gt; 0, 0)),
      "")
)</f>
        <v>Empty Row</v>
      </c>
      <c r="D165" t="str">
        <f>IF(RawDataTable[[#This Row],[Account Name and Number]]&lt;&gt;"", RawDataTable[[#This Row],[Account Name and Number]], "Empty Row")</f>
        <v>Empty Row</v>
      </c>
      <c r="E165" s="28" t="str">
        <f>IF(D165="Empty Row", "Empty Row",
   _xlfn.LET(
       _xlpm.lookupResult, _xlfn.XLOOKUP(D165, RawDataTable[Account Name and Number], RawDataTable[Investment Date], "MISSING VALUE"),
       IF(ISNUMBER(_xlpm.lookupResult), _xlpm.lookupResult, "INVALID VALUE")
   )
)</f>
        <v>Empty Row</v>
      </c>
      <c r="F165" s="29" t="str">
        <f>IF(D165="Empty Row", "Empty Row",
   _xlfn.LET(
       _xlpm.lookupResult, _xlfn.XLOOKUP(D165, RawDataTable[Account Name and Number], RawDataTable[Investment Amount], "MISSING VALUE"),
       IF(ISNUMBER(_xlpm.lookupResult), _xlpm.lookupResult, "INVALID VALUE")
   )
)</f>
        <v>Empty Row</v>
      </c>
      <c r="G165" s="28" t="str">
        <f t="shared" ca="1" si="2"/>
        <v>Empty Row</v>
      </c>
      <c r="H165" s="29" t="str">
        <f>IF(D165="Empty Row", "Empty Row",
   _xlfn.LET(
       _xlpm.lookupResult, _xlfn.XLOOKUP(D165, RawDataTable[Account Name and Number], RawDataTable[Valuation Amount], "MISSING VALUE"),
       IF(ISNUMBER(_xlpm.lookupResult), _xlpm.lookupResult, "INVALID VALUE")
   )
)</f>
        <v>Empty Row</v>
      </c>
      <c r="I165" s="2" t="str">
        <f>IF(D165="Empty Row", "Empty Row", IF(_xlfn.XLOOKUP(B165, MasterTable[IRA Custodian], MasterTable[Address], "")="", "NO STREET NAME FOUND", _xlfn.XLOOKUP(B165, MasterTable[IRA Custodian], MasterTable[Address], "")))</f>
        <v>Empty Row</v>
      </c>
      <c r="J165" s="2" t="str">
        <f>IF(D165="Empty Row", "Empty Row",
   IF(OR(
       _xlfn.XLOOKUP(B165, MasterTable[IRA Custodian], MasterTable[City], "")="",
       _xlfn.XLOOKUP(B165, MasterTable[IRA Custodian], MasterTable[State], "")="",
       _xlfn.XLOOKUP(B165, MasterTable[IRA Custodian], MasterTable[Zip], "")=""),
       "INCOMPLETE ADDRESS",
       _xlfn.CONCAT(
           _xlfn.XLOOKUP(B165, MasterTable[IRA Custodian], MasterTable[City], ""), ", ",
           _xlfn.XLOOKUP(B165, MasterTable[IRA Custodian], MasterTable[State], ""), " ",
           _xlfn.XLOOKUP(B165, MasterTable[IRA Custodian], MasterTable[Zip], "")
       )
   )
)</f>
        <v>Empty Row</v>
      </c>
    </row>
    <row r="166" spans="1:10" x14ac:dyDescent="0.25">
      <c r="A166" t="str">
        <f>IF(D166="Empty Row", "Empty Row",
   _xlfn.LET(
       _xlpm.lookupResult, _xlfn.XLOOKUP(D166, RawDataTable[Account Name and Number], RawDataTable[Entity], "RAW DATA MISSING"),
       IF(ISBLANK(_xlpm.lookupResult), "RAW DATA MISSING", _xlpm.lookupResult)
   )
)</f>
        <v>Empty Row</v>
      </c>
      <c r="B166" t="str">
        <f>IF(D166="Empty Row", "Empty Row",
   _xlfn.LET(
       _xlpm.rawDataLookup, _xlfn.XLOOKUP(D166,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66" s="56" t="str" cm="1">
        <f t="array" ref="C166">IF(D166="Empty Row", "Empty Row",
   IF(COUNTIF('Name Mapping'!H:AD, D166) &gt; 0,
      INDEX('Name Mapping'!F:F, MATCH(TRUE, MMULT(--('Name Mapping'!H:AD=D166), TRANSPOSE(COLUMN('Name Mapping'!H:AD)^0)) &gt; 0, 0)),
      "")
)</f>
        <v>Empty Row</v>
      </c>
      <c r="D166" t="str">
        <f>IF(RawDataTable[[#This Row],[Account Name and Number]]&lt;&gt;"", RawDataTable[[#This Row],[Account Name and Number]], "Empty Row")</f>
        <v>Empty Row</v>
      </c>
      <c r="E166" s="28" t="str">
        <f>IF(D166="Empty Row", "Empty Row",
   _xlfn.LET(
       _xlpm.lookupResult, _xlfn.XLOOKUP(D166, RawDataTable[Account Name and Number], RawDataTable[Investment Date], "MISSING VALUE"),
       IF(ISNUMBER(_xlpm.lookupResult), _xlpm.lookupResult, "INVALID VALUE")
   )
)</f>
        <v>Empty Row</v>
      </c>
      <c r="F166" s="29" t="str">
        <f>IF(D166="Empty Row", "Empty Row",
   _xlfn.LET(
       _xlpm.lookupResult, _xlfn.XLOOKUP(D166, RawDataTable[Account Name and Number], RawDataTable[Investment Amount], "MISSING VALUE"),
       IF(ISNUMBER(_xlpm.lookupResult), _xlpm.lookupResult, "INVALID VALUE")
   )
)</f>
        <v>Empty Row</v>
      </c>
      <c r="G166" s="28" t="str">
        <f t="shared" ca="1" si="2"/>
        <v>Empty Row</v>
      </c>
      <c r="H166" s="29" t="str">
        <f>IF(D166="Empty Row", "Empty Row",
   _xlfn.LET(
       _xlpm.lookupResult, _xlfn.XLOOKUP(D166, RawDataTable[Account Name and Number], RawDataTable[Valuation Amount], "MISSING VALUE"),
       IF(ISNUMBER(_xlpm.lookupResult), _xlpm.lookupResult, "INVALID VALUE")
   )
)</f>
        <v>Empty Row</v>
      </c>
      <c r="I166" s="2" t="str">
        <f>IF(D166="Empty Row", "Empty Row", IF(_xlfn.XLOOKUP(B166, MasterTable[IRA Custodian], MasterTable[Address], "")="", "NO STREET NAME FOUND", _xlfn.XLOOKUP(B166, MasterTable[IRA Custodian], MasterTable[Address], "")))</f>
        <v>Empty Row</v>
      </c>
      <c r="J166" s="2" t="str">
        <f>IF(D166="Empty Row", "Empty Row",
   IF(OR(
       _xlfn.XLOOKUP(B166, MasterTable[IRA Custodian], MasterTable[City], "")="",
       _xlfn.XLOOKUP(B166, MasterTable[IRA Custodian], MasterTable[State], "")="",
       _xlfn.XLOOKUP(B166, MasterTable[IRA Custodian], MasterTable[Zip], "")=""),
       "INCOMPLETE ADDRESS",
       _xlfn.CONCAT(
           _xlfn.XLOOKUP(B166, MasterTable[IRA Custodian], MasterTable[City], ""), ", ",
           _xlfn.XLOOKUP(B166, MasterTable[IRA Custodian], MasterTable[State], ""), " ",
           _xlfn.XLOOKUP(B166, MasterTable[IRA Custodian], MasterTable[Zip], "")
       )
   )
)</f>
        <v>Empty Row</v>
      </c>
    </row>
    <row r="167" spans="1:10" x14ac:dyDescent="0.25">
      <c r="A167" t="str">
        <f>IF(D167="Empty Row", "Empty Row",
   _xlfn.LET(
       _xlpm.lookupResult, _xlfn.XLOOKUP(D167, RawDataTable[Account Name and Number], RawDataTable[Entity], "RAW DATA MISSING"),
       IF(ISBLANK(_xlpm.lookupResult), "RAW DATA MISSING", _xlpm.lookupResult)
   )
)</f>
        <v>Empty Row</v>
      </c>
      <c r="B167" t="str">
        <f>IF(D167="Empty Row", "Empty Row",
   _xlfn.LET(
       _xlpm.rawDataLookup, _xlfn.XLOOKUP(D167,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67" s="56" t="str" cm="1">
        <f t="array" ref="C167">IF(D167="Empty Row", "Empty Row",
   IF(COUNTIF('Name Mapping'!H:AD, D167) &gt; 0,
      INDEX('Name Mapping'!F:F, MATCH(TRUE, MMULT(--('Name Mapping'!H:AD=D167), TRANSPOSE(COLUMN('Name Mapping'!H:AD)^0)) &gt; 0, 0)),
      "")
)</f>
        <v>Empty Row</v>
      </c>
      <c r="D167" t="str">
        <f>IF(RawDataTable[[#This Row],[Account Name and Number]]&lt;&gt;"", RawDataTable[[#This Row],[Account Name and Number]], "Empty Row")</f>
        <v>Empty Row</v>
      </c>
      <c r="E167" s="28" t="str">
        <f>IF(D167="Empty Row", "Empty Row",
   _xlfn.LET(
       _xlpm.lookupResult, _xlfn.XLOOKUP(D167, RawDataTable[Account Name and Number], RawDataTable[Investment Date], "MISSING VALUE"),
       IF(ISNUMBER(_xlpm.lookupResult), _xlpm.lookupResult, "INVALID VALUE")
   )
)</f>
        <v>Empty Row</v>
      </c>
      <c r="F167" s="29" t="str">
        <f>IF(D167="Empty Row", "Empty Row",
   _xlfn.LET(
       _xlpm.lookupResult, _xlfn.XLOOKUP(D167, RawDataTable[Account Name and Number], RawDataTable[Investment Amount], "MISSING VALUE"),
       IF(ISNUMBER(_xlpm.lookupResult), _xlpm.lookupResult, "INVALID VALUE")
   )
)</f>
        <v>Empty Row</v>
      </c>
      <c r="G167" s="28" t="str">
        <f t="shared" ca="1" si="2"/>
        <v>Empty Row</v>
      </c>
      <c r="H167" s="29" t="str">
        <f>IF(D167="Empty Row", "Empty Row",
   _xlfn.LET(
       _xlpm.lookupResult, _xlfn.XLOOKUP(D167, RawDataTable[Account Name and Number], RawDataTable[Valuation Amount], "MISSING VALUE"),
       IF(ISNUMBER(_xlpm.lookupResult), _xlpm.lookupResult, "INVALID VALUE")
   )
)</f>
        <v>Empty Row</v>
      </c>
      <c r="I167" s="2" t="str">
        <f>IF(D167="Empty Row", "Empty Row", IF(_xlfn.XLOOKUP(B167, MasterTable[IRA Custodian], MasterTable[Address], "")="", "NO STREET NAME FOUND", _xlfn.XLOOKUP(B167, MasterTable[IRA Custodian], MasterTable[Address], "")))</f>
        <v>Empty Row</v>
      </c>
      <c r="J167" s="2" t="str">
        <f>IF(D167="Empty Row", "Empty Row",
   IF(OR(
       _xlfn.XLOOKUP(B167, MasterTable[IRA Custodian], MasterTable[City], "")="",
       _xlfn.XLOOKUP(B167, MasterTable[IRA Custodian], MasterTable[State], "")="",
       _xlfn.XLOOKUP(B167, MasterTable[IRA Custodian], MasterTable[Zip], "")=""),
       "INCOMPLETE ADDRESS",
       _xlfn.CONCAT(
           _xlfn.XLOOKUP(B167, MasterTable[IRA Custodian], MasterTable[City], ""), ", ",
           _xlfn.XLOOKUP(B167, MasterTable[IRA Custodian], MasterTable[State], ""), " ",
           _xlfn.XLOOKUP(B167, MasterTable[IRA Custodian], MasterTable[Zip], "")
       )
   )
)</f>
        <v>Empty Row</v>
      </c>
    </row>
    <row r="168" spans="1:10" x14ac:dyDescent="0.25">
      <c r="A168" t="str">
        <f>IF(D168="Empty Row", "Empty Row",
   _xlfn.LET(
       _xlpm.lookupResult, _xlfn.XLOOKUP(D168, RawDataTable[Account Name and Number], RawDataTable[Entity], "RAW DATA MISSING"),
       IF(ISBLANK(_xlpm.lookupResult), "RAW DATA MISSING", _xlpm.lookupResult)
   )
)</f>
        <v>Empty Row</v>
      </c>
      <c r="B168" t="str">
        <f>IF(D168="Empty Row", "Empty Row",
   _xlfn.LET(
       _xlpm.rawDataLookup, _xlfn.XLOOKUP(D168,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68" s="56" t="str" cm="1">
        <f t="array" ref="C168">IF(D168="Empty Row", "Empty Row",
   IF(COUNTIF('Name Mapping'!H:AD, D168) &gt; 0,
      INDEX('Name Mapping'!F:F, MATCH(TRUE, MMULT(--('Name Mapping'!H:AD=D168), TRANSPOSE(COLUMN('Name Mapping'!H:AD)^0)) &gt; 0, 0)),
      "")
)</f>
        <v>Empty Row</v>
      </c>
      <c r="D168" t="str">
        <f>IF(RawDataTable[[#This Row],[Account Name and Number]]&lt;&gt;"", RawDataTable[[#This Row],[Account Name and Number]], "Empty Row")</f>
        <v>Empty Row</v>
      </c>
      <c r="E168" s="28" t="str">
        <f>IF(D168="Empty Row", "Empty Row",
   _xlfn.LET(
       _xlpm.lookupResult, _xlfn.XLOOKUP(D168, RawDataTable[Account Name and Number], RawDataTable[Investment Date], "MISSING VALUE"),
       IF(ISNUMBER(_xlpm.lookupResult), _xlpm.lookupResult, "INVALID VALUE")
   )
)</f>
        <v>Empty Row</v>
      </c>
      <c r="F168" s="29" t="str">
        <f>IF(D168="Empty Row", "Empty Row",
   _xlfn.LET(
       _xlpm.lookupResult, _xlfn.XLOOKUP(D168, RawDataTable[Account Name and Number], RawDataTable[Investment Amount], "MISSING VALUE"),
       IF(ISNUMBER(_xlpm.lookupResult), _xlpm.lookupResult, "INVALID VALUE")
   )
)</f>
        <v>Empty Row</v>
      </c>
      <c r="G168" s="28" t="str">
        <f t="shared" ca="1" si="2"/>
        <v>Empty Row</v>
      </c>
      <c r="H168" s="29" t="str">
        <f>IF(D168="Empty Row", "Empty Row",
   _xlfn.LET(
       _xlpm.lookupResult, _xlfn.XLOOKUP(D168, RawDataTable[Account Name and Number], RawDataTable[Valuation Amount], "MISSING VALUE"),
       IF(ISNUMBER(_xlpm.lookupResult), _xlpm.lookupResult, "INVALID VALUE")
   )
)</f>
        <v>Empty Row</v>
      </c>
      <c r="I168" s="2" t="str">
        <f>IF(D168="Empty Row", "Empty Row", IF(_xlfn.XLOOKUP(B168, MasterTable[IRA Custodian], MasterTable[Address], "")="", "NO STREET NAME FOUND", _xlfn.XLOOKUP(B168, MasterTable[IRA Custodian], MasterTable[Address], "")))</f>
        <v>Empty Row</v>
      </c>
      <c r="J168" s="2" t="str">
        <f>IF(D168="Empty Row", "Empty Row",
   IF(OR(
       _xlfn.XLOOKUP(B168, MasterTable[IRA Custodian], MasterTable[City], "")="",
       _xlfn.XLOOKUP(B168, MasterTable[IRA Custodian], MasterTable[State], "")="",
       _xlfn.XLOOKUP(B168, MasterTable[IRA Custodian], MasterTable[Zip], "")=""),
       "INCOMPLETE ADDRESS",
       _xlfn.CONCAT(
           _xlfn.XLOOKUP(B168, MasterTable[IRA Custodian], MasterTable[City], ""), ", ",
           _xlfn.XLOOKUP(B168, MasterTable[IRA Custodian], MasterTable[State], ""), " ",
           _xlfn.XLOOKUP(B168, MasterTable[IRA Custodian], MasterTable[Zip], "")
       )
   )
)</f>
        <v>Empty Row</v>
      </c>
    </row>
    <row r="169" spans="1:10" x14ac:dyDescent="0.25">
      <c r="A169" t="str">
        <f>IF(D169="Empty Row", "Empty Row",
   _xlfn.LET(
       _xlpm.lookupResult, _xlfn.XLOOKUP(D169, RawDataTable[Account Name and Number], RawDataTable[Entity], "RAW DATA MISSING"),
       IF(ISBLANK(_xlpm.lookupResult), "RAW DATA MISSING", _xlpm.lookupResult)
   )
)</f>
        <v>Empty Row</v>
      </c>
      <c r="B169" t="str">
        <f>IF(D169="Empty Row", "Empty Row",
   _xlfn.LET(
       _xlpm.rawDataLookup, _xlfn.XLOOKUP(D169,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69" s="56" t="str" cm="1">
        <f t="array" ref="C169">IF(D169="Empty Row", "Empty Row",
   IF(COUNTIF('Name Mapping'!H:AD, D169) &gt; 0,
      INDEX('Name Mapping'!F:F, MATCH(TRUE, MMULT(--('Name Mapping'!H:AD=D169), TRANSPOSE(COLUMN('Name Mapping'!H:AD)^0)) &gt; 0, 0)),
      "")
)</f>
        <v>Empty Row</v>
      </c>
      <c r="D169" t="str">
        <f>IF(RawDataTable[[#This Row],[Account Name and Number]]&lt;&gt;"", RawDataTable[[#This Row],[Account Name and Number]], "Empty Row")</f>
        <v>Empty Row</v>
      </c>
      <c r="E169" s="28" t="str">
        <f>IF(D169="Empty Row", "Empty Row",
   _xlfn.LET(
       _xlpm.lookupResult, _xlfn.XLOOKUP(D169, RawDataTable[Account Name and Number], RawDataTable[Investment Date], "MISSING VALUE"),
       IF(ISNUMBER(_xlpm.lookupResult), _xlpm.lookupResult, "INVALID VALUE")
   )
)</f>
        <v>Empty Row</v>
      </c>
      <c r="F169" s="29" t="str">
        <f>IF(D169="Empty Row", "Empty Row",
   _xlfn.LET(
       _xlpm.lookupResult, _xlfn.XLOOKUP(D169, RawDataTable[Account Name and Number], RawDataTable[Investment Amount], "MISSING VALUE"),
       IF(ISNUMBER(_xlpm.lookupResult), _xlpm.lookupResult, "INVALID VALUE")
   )
)</f>
        <v>Empty Row</v>
      </c>
      <c r="G169" s="28" t="str">
        <f t="shared" ca="1" si="2"/>
        <v>Empty Row</v>
      </c>
      <c r="H169" s="29" t="str">
        <f>IF(D169="Empty Row", "Empty Row",
   _xlfn.LET(
       _xlpm.lookupResult, _xlfn.XLOOKUP(D169, RawDataTable[Account Name and Number], RawDataTable[Valuation Amount], "MISSING VALUE"),
       IF(ISNUMBER(_xlpm.lookupResult), _xlpm.lookupResult, "INVALID VALUE")
   )
)</f>
        <v>Empty Row</v>
      </c>
      <c r="I169" s="2" t="str">
        <f>IF(D169="Empty Row", "Empty Row", IF(_xlfn.XLOOKUP(B169, MasterTable[IRA Custodian], MasterTable[Address], "")="", "NO STREET NAME FOUND", _xlfn.XLOOKUP(B169, MasterTable[IRA Custodian], MasterTable[Address], "")))</f>
        <v>Empty Row</v>
      </c>
      <c r="J169" s="2" t="str">
        <f>IF(D169="Empty Row", "Empty Row",
   IF(OR(
       _xlfn.XLOOKUP(B169, MasterTable[IRA Custodian], MasterTable[City], "")="",
       _xlfn.XLOOKUP(B169, MasterTable[IRA Custodian], MasterTable[State], "")="",
       _xlfn.XLOOKUP(B169, MasterTable[IRA Custodian], MasterTable[Zip], "")=""),
       "INCOMPLETE ADDRESS",
       _xlfn.CONCAT(
           _xlfn.XLOOKUP(B169, MasterTable[IRA Custodian], MasterTable[City], ""), ", ",
           _xlfn.XLOOKUP(B169, MasterTable[IRA Custodian], MasterTable[State], ""), " ",
           _xlfn.XLOOKUP(B169, MasterTable[IRA Custodian], MasterTable[Zip], "")
       )
   )
)</f>
        <v>Empty Row</v>
      </c>
    </row>
    <row r="170" spans="1:10" x14ac:dyDescent="0.25">
      <c r="A170" t="str">
        <f>IF(D170="Empty Row", "Empty Row",
   _xlfn.LET(
       _xlpm.lookupResult, _xlfn.XLOOKUP(D170, RawDataTable[Account Name and Number], RawDataTable[Entity], "RAW DATA MISSING"),
       IF(ISBLANK(_xlpm.lookupResult), "RAW DATA MISSING", _xlpm.lookupResult)
   )
)</f>
        <v>Empty Row</v>
      </c>
      <c r="B170" t="str">
        <f>IF(D170="Empty Row", "Empty Row",
   _xlfn.LET(
       _xlpm.rawDataLookup, _xlfn.XLOOKUP(D170,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70" s="56" t="str" cm="1">
        <f t="array" ref="C170">IF(D170="Empty Row", "Empty Row",
   IF(COUNTIF('Name Mapping'!H:AD, D170) &gt; 0,
      INDEX('Name Mapping'!F:F, MATCH(TRUE, MMULT(--('Name Mapping'!H:AD=D170), TRANSPOSE(COLUMN('Name Mapping'!H:AD)^0)) &gt; 0, 0)),
      "")
)</f>
        <v>Empty Row</v>
      </c>
      <c r="D170" t="str">
        <f>IF(RawDataTable[[#This Row],[Account Name and Number]]&lt;&gt;"", RawDataTable[[#This Row],[Account Name and Number]], "Empty Row")</f>
        <v>Empty Row</v>
      </c>
      <c r="E170" s="28" t="str">
        <f>IF(D170="Empty Row", "Empty Row",
   _xlfn.LET(
       _xlpm.lookupResult, _xlfn.XLOOKUP(D170, RawDataTable[Account Name and Number], RawDataTable[Investment Date], "MISSING VALUE"),
       IF(ISNUMBER(_xlpm.lookupResult), _xlpm.lookupResult, "INVALID VALUE")
   )
)</f>
        <v>Empty Row</v>
      </c>
      <c r="F170" s="29" t="str">
        <f>IF(D170="Empty Row", "Empty Row",
   _xlfn.LET(
       _xlpm.lookupResult, _xlfn.XLOOKUP(D170, RawDataTable[Account Name and Number], RawDataTable[Investment Amount], "MISSING VALUE"),
       IF(ISNUMBER(_xlpm.lookupResult), _xlpm.lookupResult, "INVALID VALUE")
   )
)</f>
        <v>Empty Row</v>
      </c>
      <c r="G170" s="28" t="str">
        <f t="shared" ca="1" si="2"/>
        <v>Empty Row</v>
      </c>
      <c r="H170" s="29" t="str">
        <f>IF(D170="Empty Row", "Empty Row",
   _xlfn.LET(
       _xlpm.lookupResult, _xlfn.XLOOKUP(D170, RawDataTable[Account Name and Number], RawDataTable[Valuation Amount], "MISSING VALUE"),
       IF(ISNUMBER(_xlpm.lookupResult), _xlpm.lookupResult, "INVALID VALUE")
   )
)</f>
        <v>Empty Row</v>
      </c>
      <c r="I170" s="2" t="str">
        <f>IF(D170="Empty Row", "Empty Row", IF(_xlfn.XLOOKUP(B170, MasterTable[IRA Custodian], MasterTable[Address], "")="", "NO STREET NAME FOUND", _xlfn.XLOOKUP(B170, MasterTable[IRA Custodian], MasterTable[Address], "")))</f>
        <v>Empty Row</v>
      </c>
      <c r="J170" s="2" t="str">
        <f>IF(D170="Empty Row", "Empty Row",
   IF(OR(
       _xlfn.XLOOKUP(B170, MasterTable[IRA Custodian], MasterTable[City], "")="",
       _xlfn.XLOOKUP(B170, MasterTable[IRA Custodian], MasterTable[State], "")="",
       _xlfn.XLOOKUP(B170, MasterTable[IRA Custodian], MasterTable[Zip], "")=""),
       "INCOMPLETE ADDRESS",
       _xlfn.CONCAT(
           _xlfn.XLOOKUP(B170, MasterTable[IRA Custodian], MasterTable[City], ""), ", ",
           _xlfn.XLOOKUP(B170, MasterTable[IRA Custodian], MasterTable[State], ""), " ",
           _xlfn.XLOOKUP(B170, MasterTable[IRA Custodian], MasterTable[Zip], "")
       )
   )
)</f>
        <v>Empty Row</v>
      </c>
    </row>
    <row r="171" spans="1:10" x14ac:dyDescent="0.25">
      <c r="A171" t="str">
        <f>IF(D171="Empty Row", "Empty Row",
   _xlfn.LET(
       _xlpm.lookupResult, _xlfn.XLOOKUP(D171, RawDataTable[Account Name and Number], RawDataTable[Entity], "RAW DATA MISSING"),
       IF(ISBLANK(_xlpm.lookupResult), "RAW DATA MISSING", _xlpm.lookupResult)
   )
)</f>
        <v>Empty Row</v>
      </c>
      <c r="B171" t="str">
        <f>IF(D171="Empty Row", "Empty Row",
   _xlfn.LET(
       _xlpm.rawDataLookup, _xlfn.XLOOKUP(D171,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71" s="56" t="str" cm="1">
        <f t="array" ref="C171">IF(D171="Empty Row", "Empty Row",
   IF(COUNTIF('Name Mapping'!H:AD, D171) &gt; 0,
      INDEX('Name Mapping'!F:F, MATCH(TRUE, MMULT(--('Name Mapping'!H:AD=D171), TRANSPOSE(COLUMN('Name Mapping'!H:AD)^0)) &gt; 0, 0)),
      "")
)</f>
        <v>Empty Row</v>
      </c>
      <c r="D171" t="str">
        <f>IF(RawDataTable[[#This Row],[Account Name and Number]]&lt;&gt;"", RawDataTable[[#This Row],[Account Name and Number]], "Empty Row")</f>
        <v>Empty Row</v>
      </c>
      <c r="E171" s="28" t="str">
        <f>IF(D171="Empty Row", "Empty Row",
   _xlfn.LET(
       _xlpm.lookupResult, _xlfn.XLOOKUP(D171, RawDataTable[Account Name and Number], RawDataTable[Investment Date], "MISSING VALUE"),
       IF(ISNUMBER(_xlpm.lookupResult), _xlpm.lookupResult, "INVALID VALUE")
   )
)</f>
        <v>Empty Row</v>
      </c>
      <c r="F171" s="29" t="str">
        <f>IF(D171="Empty Row", "Empty Row",
   _xlfn.LET(
       _xlpm.lookupResult, _xlfn.XLOOKUP(D171, RawDataTable[Account Name and Number], RawDataTable[Investment Amount], "MISSING VALUE"),
       IF(ISNUMBER(_xlpm.lookupResult), _xlpm.lookupResult, "INVALID VALUE")
   )
)</f>
        <v>Empty Row</v>
      </c>
      <c r="G171" s="28" t="str">
        <f t="shared" ca="1" si="2"/>
        <v>Empty Row</v>
      </c>
      <c r="H171" s="29" t="str">
        <f>IF(D171="Empty Row", "Empty Row",
   _xlfn.LET(
       _xlpm.lookupResult, _xlfn.XLOOKUP(D171, RawDataTable[Account Name and Number], RawDataTable[Valuation Amount], "MISSING VALUE"),
       IF(ISNUMBER(_xlpm.lookupResult), _xlpm.lookupResult, "INVALID VALUE")
   )
)</f>
        <v>Empty Row</v>
      </c>
      <c r="I171" s="2" t="str">
        <f>IF(D171="Empty Row", "Empty Row", IF(_xlfn.XLOOKUP(B171, MasterTable[IRA Custodian], MasterTable[Address], "")="", "NO STREET NAME FOUND", _xlfn.XLOOKUP(B171, MasterTable[IRA Custodian], MasterTable[Address], "")))</f>
        <v>Empty Row</v>
      </c>
      <c r="J171" s="2" t="str">
        <f>IF(D171="Empty Row", "Empty Row",
   IF(OR(
       _xlfn.XLOOKUP(B171, MasterTable[IRA Custodian], MasterTable[City], "")="",
       _xlfn.XLOOKUP(B171, MasterTable[IRA Custodian], MasterTable[State], "")="",
       _xlfn.XLOOKUP(B171, MasterTable[IRA Custodian], MasterTable[Zip], "")=""),
       "INCOMPLETE ADDRESS",
       _xlfn.CONCAT(
           _xlfn.XLOOKUP(B171, MasterTable[IRA Custodian], MasterTable[City], ""), ", ",
           _xlfn.XLOOKUP(B171, MasterTable[IRA Custodian], MasterTable[State], ""), " ",
           _xlfn.XLOOKUP(B171, MasterTable[IRA Custodian], MasterTable[Zip], "")
       )
   )
)</f>
        <v>Empty Row</v>
      </c>
    </row>
    <row r="172" spans="1:10" x14ac:dyDescent="0.25">
      <c r="A172" t="str">
        <f>IF(D172="Empty Row", "Empty Row",
   _xlfn.LET(
       _xlpm.lookupResult, _xlfn.XLOOKUP(D172, RawDataTable[Account Name and Number], RawDataTable[Entity], "RAW DATA MISSING"),
       IF(ISBLANK(_xlpm.lookupResult), "RAW DATA MISSING", _xlpm.lookupResult)
   )
)</f>
        <v>Empty Row</v>
      </c>
      <c r="B172" t="str">
        <f>IF(D172="Empty Row", "Empty Row",
   _xlfn.LET(
       _xlpm.rawDataLookup, _xlfn.XLOOKUP(D172,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72" s="56" t="str" cm="1">
        <f t="array" ref="C172">IF(D172="Empty Row", "Empty Row",
   IF(COUNTIF('Name Mapping'!H:AD, D172) &gt; 0,
      INDEX('Name Mapping'!F:F, MATCH(TRUE, MMULT(--('Name Mapping'!H:AD=D172), TRANSPOSE(COLUMN('Name Mapping'!H:AD)^0)) &gt; 0, 0)),
      "")
)</f>
        <v>Empty Row</v>
      </c>
      <c r="D172" t="str">
        <f>IF(RawDataTable[[#This Row],[Account Name and Number]]&lt;&gt;"", RawDataTable[[#This Row],[Account Name and Number]], "Empty Row")</f>
        <v>Empty Row</v>
      </c>
      <c r="E172" s="28" t="str">
        <f>IF(D172="Empty Row", "Empty Row",
   _xlfn.LET(
       _xlpm.lookupResult, _xlfn.XLOOKUP(D172, RawDataTable[Account Name and Number], RawDataTable[Investment Date], "MISSING VALUE"),
       IF(ISNUMBER(_xlpm.lookupResult), _xlpm.lookupResult, "INVALID VALUE")
   )
)</f>
        <v>Empty Row</v>
      </c>
      <c r="F172" s="29" t="str">
        <f>IF(D172="Empty Row", "Empty Row",
   _xlfn.LET(
       _xlpm.lookupResult, _xlfn.XLOOKUP(D172, RawDataTable[Account Name and Number], RawDataTable[Investment Amount], "MISSING VALUE"),
       IF(ISNUMBER(_xlpm.lookupResult), _xlpm.lookupResult, "INVALID VALUE")
   )
)</f>
        <v>Empty Row</v>
      </c>
      <c r="G172" s="28" t="str">
        <f t="shared" ca="1" si="2"/>
        <v>Empty Row</v>
      </c>
      <c r="H172" s="29" t="str">
        <f>IF(D172="Empty Row", "Empty Row",
   _xlfn.LET(
       _xlpm.lookupResult, _xlfn.XLOOKUP(D172, RawDataTable[Account Name and Number], RawDataTable[Valuation Amount], "MISSING VALUE"),
       IF(ISNUMBER(_xlpm.lookupResult), _xlpm.lookupResult, "INVALID VALUE")
   )
)</f>
        <v>Empty Row</v>
      </c>
      <c r="I172" s="2" t="str">
        <f>IF(D172="Empty Row", "Empty Row", IF(_xlfn.XLOOKUP(B172, MasterTable[IRA Custodian], MasterTable[Address], "")="", "NO STREET NAME FOUND", _xlfn.XLOOKUP(B172, MasterTable[IRA Custodian], MasterTable[Address], "")))</f>
        <v>Empty Row</v>
      </c>
      <c r="J172" s="2" t="str">
        <f>IF(D172="Empty Row", "Empty Row",
   IF(OR(
       _xlfn.XLOOKUP(B172, MasterTable[IRA Custodian], MasterTable[City], "")="",
       _xlfn.XLOOKUP(B172, MasterTable[IRA Custodian], MasterTable[State], "")="",
       _xlfn.XLOOKUP(B172, MasterTable[IRA Custodian], MasterTable[Zip], "")=""),
       "INCOMPLETE ADDRESS",
       _xlfn.CONCAT(
           _xlfn.XLOOKUP(B172, MasterTable[IRA Custodian], MasterTable[City], ""), ", ",
           _xlfn.XLOOKUP(B172, MasterTable[IRA Custodian], MasterTable[State], ""), " ",
           _xlfn.XLOOKUP(B172, MasterTable[IRA Custodian], MasterTable[Zip], "")
       )
   )
)</f>
        <v>Empty Row</v>
      </c>
    </row>
    <row r="173" spans="1:10" x14ac:dyDescent="0.25">
      <c r="A173" t="str">
        <f>IF(D173="Empty Row", "Empty Row",
   _xlfn.LET(
       _xlpm.lookupResult, _xlfn.XLOOKUP(D173, RawDataTable[Account Name and Number], RawDataTable[Entity], "RAW DATA MISSING"),
       IF(ISBLANK(_xlpm.lookupResult), "RAW DATA MISSING", _xlpm.lookupResult)
   )
)</f>
        <v>Empty Row</v>
      </c>
      <c r="B173" t="str">
        <f>IF(D173="Empty Row", "Empty Row",
   _xlfn.LET(
       _xlpm.rawDataLookup, _xlfn.XLOOKUP(D173,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73" s="56" t="str" cm="1">
        <f t="array" ref="C173">IF(D173="Empty Row", "Empty Row",
   IF(COUNTIF('Name Mapping'!H:AD, D173) &gt; 0,
      INDEX('Name Mapping'!F:F, MATCH(TRUE, MMULT(--('Name Mapping'!H:AD=D173), TRANSPOSE(COLUMN('Name Mapping'!H:AD)^0)) &gt; 0, 0)),
      "")
)</f>
        <v>Empty Row</v>
      </c>
      <c r="D173" t="str">
        <f>IF(RawDataTable[[#This Row],[Account Name and Number]]&lt;&gt;"", RawDataTable[[#This Row],[Account Name and Number]], "Empty Row")</f>
        <v>Empty Row</v>
      </c>
      <c r="E173" s="28" t="str">
        <f>IF(D173="Empty Row", "Empty Row",
   _xlfn.LET(
       _xlpm.lookupResult, _xlfn.XLOOKUP(D173, RawDataTable[Account Name and Number], RawDataTable[Investment Date], "MISSING VALUE"),
       IF(ISNUMBER(_xlpm.lookupResult), _xlpm.lookupResult, "INVALID VALUE")
   )
)</f>
        <v>Empty Row</v>
      </c>
      <c r="F173" s="29" t="str">
        <f>IF(D173="Empty Row", "Empty Row",
   _xlfn.LET(
       _xlpm.lookupResult, _xlfn.XLOOKUP(D173, RawDataTable[Account Name and Number], RawDataTable[Investment Amount], "MISSING VALUE"),
       IF(ISNUMBER(_xlpm.lookupResult), _xlpm.lookupResult, "INVALID VALUE")
   )
)</f>
        <v>Empty Row</v>
      </c>
      <c r="G173" s="28" t="str">
        <f t="shared" ca="1" si="2"/>
        <v>Empty Row</v>
      </c>
      <c r="H173" s="29" t="str">
        <f>IF(D173="Empty Row", "Empty Row",
   _xlfn.LET(
       _xlpm.lookupResult, _xlfn.XLOOKUP(D173, RawDataTable[Account Name and Number], RawDataTable[Valuation Amount], "MISSING VALUE"),
       IF(ISNUMBER(_xlpm.lookupResult), _xlpm.lookupResult, "INVALID VALUE")
   )
)</f>
        <v>Empty Row</v>
      </c>
      <c r="I173" s="2" t="str">
        <f>IF(D173="Empty Row", "Empty Row", IF(_xlfn.XLOOKUP(B173, MasterTable[IRA Custodian], MasterTable[Address], "")="", "NO STREET NAME FOUND", _xlfn.XLOOKUP(B173, MasterTable[IRA Custodian], MasterTable[Address], "")))</f>
        <v>Empty Row</v>
      </c>
      <c r="J173" s="2" t="str">
        <f>IF(D173="Empty Row", "Empty Row",
   IF(OR(
       _xlfn.XLOOKUP(B173, MasterTable[IRA Custodian], MasterTable[City], "")="",
       _xlfn.XLOOKUP(B173, MasterTable[IRA Custodian], MasterTable[State], "")="",
       _xlfn.XLOOKUP(B173, MasterTable[IRA Custodian], MasterTable[Zip], "")=""),
       "INCOMPLETE ADDRESS",
       _xlfn.CONCAT(
           _xlfn.XLOOKUP(B173, MasterTable[IRA Custodian], MasterTable[City], ""), ", ",
           _xlfn.XLOOKUP(B173, MasterTable[IRA Custodian], MasterTable[State], ""), " ",
           _xlfn.XLOOKUP(B173, MasterTable[IRA Custodian], MasterTable[Zip], "")
       )
   )
)</f>
        <v>Empty Row</v>
      </c>
    </row>
    <row r="174" spans="1:10" x14ac:dyDescent="0.25">
      <c r="A174" t="str">
        <f>IF(D174="Empty Row", "Empty Row",
   _xlfn.LET(
       _xlpm.lookupResult, _xlfn.XLOOKUP(D174, RawDataTable[Account Name and Number], RawDataTable[Entity], "RAW DATA MISSING"),
       IF(ISBLANK(_xlpm.lookupResult), "RAW DATA MISSING", _xlpm.lookupResult)
   )
)</f>
        <v>Empty Row</v>
      </c>
      <c r="B174" t="str">
        <f>IF(D174="Empty Row", "Empty Row",
   _xlfn.LET(
       _xlpm.rawDataLookup, _xlfn.XLOOKUP(D174,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74" s="56" t="str" cm="1">
        <f t="array" ref="C174">IF(D174="Empty Row", "Empty Row",
   IF(COUNTIF('Name Mapping'!H:AD, D174) &gt; 0,
      INDEX('Name Mapping'!F:F, MATCH(TRUE, MMULT(--('Name Mapping'!H:AD=D174), TRANSPOSE(COLUMN('Name Mapping'!H:AD)^0)) &gt; 0, 0)),
      "")
)</f>
        <v>Empty Row</v>
      </c>
      <c r="D174" t="str">
        <f>IF(RawDataTable[[#This Row],[Account Name and Number]]&lt;&gt;"", RawDataTable[[#This Row],[Account Name and Number]], "Empty Row")</f>
        <v>Empty Row</v>
      </c>
      <c r="E174" s="28" t="str">
        <f>IF(D174="Empty Row", "Empty Row",
   _xlfn.LET(
       _xlpm.lookupResult, _xlfn.XLOOKUP(D174, RawDataTable[Account Name and Number], RawDataTable[Investment Date], "MISSING VALUE"),
       IF(ISNUMBER(_xlpm.lookupResult), _xlpm.lookupResult, "INVALID VALUE")
   )
)</f>
        <v>Empty Row</v>
      </c>
      <c r="F174" s="29" t="str">
        <f>IF(D174="Empty Row", "Empty Row",
   _xlfn.LET(
       _xlpm.lookupResult, _xlfn.XLOOKUP(D174, RawDataTable[Account Name and Number], RawDataTable[Investment Amount], "MISSING VALUE"),
       IF(ISNUMBER(_xlpm.lookupResult), _xlpm.lookupResult, "INVALID VALUE")
   )
)</f>
        <v>Empty Row</v>
      </c>
      <c r="G174" s="28" t="str">
        <f t="shared" ca="1" si="2"/>
        <v>Empty Row</v>
      </c>
      <c r="H174" s="29" t="str">
        <f>IF(D174="Empty Row", "Empty Row",
   _xlfn.LET(
       _xlpm.lookupResult, _xlfn.XLOOKUP(D174, RawDataTable[Account Name and Number], RawDataTable[Valuation Amount], "MISSING VALUE"),
       IF(ISNUMBER(_xlpm.lookupResult), _xlpm.lookupResult, "INVALID VALUE")
   )
)</f>
        <v>Empty Row</v>
      </c>
      <c r="I174" s="2" t="str">
        <f>IF(D174="Empty Row", "Empty Row", IF(_xlfn.XLOOKUP(B174, MasterTable[IRA Custodian], MasterTable[Address], "")="", "NO STREET NAME FOUND", _xlfn.XLOOKUP(B174, MasterTable[IRA Custodian], MasterTable[Address], "")))</f>
        <v>Empty Row</v>
      </c>
      <c r="J174" s="2" t="str">
        <f>IF(D174="Empty Row", "Empty Row",
   IF(OR(
       _xlfn.XLOOKUP(B174, MasterTable[IRA Custodian], MasterTable[City], "")="",
       _xlfn.XLOOKUP(B174, MasterTable[IRA Custodian], MasterTable[State], "")="",
       _xlfn.XLOOKUP(B174, MasterTable[IRA Custodian], MasterTable[Zip], "")=""),
       "INCOMPLETE ADDRESS",
       _xlfn.CONCAT(
           _xlfn.XLOOKUP(B174, MasterTable[IRA Custodian], MasterTable[City], ""), ", ",
           _xlfn.XLOOKUP(B174, MasterTable[IRA Custodian], MasterTable[State], ""), " ",
           _xlfn.XLOOKUP(B174, MasterTable[IRA Custodian], MasterTable[Zip], "")
       )
   )
)</f>
        <v>Empty Row</v>
      </c>
    </row>
    <row r="175" spans="1:10" x14ac:dyDescent="0.25">
      <c r="A175" t="str">
        <f>IF(D175="Empty Row", "Empty Row",
   _xlfn.LET(
       _xlpm.lookupResult, _xlfn.XLOOKUP(D175, RawDataTable[Account Name and Number], RawDataTable[Entity], "RAW DATA MISSING"),
       IF(ISBLANK(_xlpm.lookupResult), "RAW DATA MISSING", _xlpm.lookupResult)
   )
)</f>
        <v>Empty Row</v>
      </c>
      <c r="B175" t="str">
        <f>IF(D175="Empty Row", "Empty Row",
   _xlfn.LET(
       _xlpm.rawDataLookup, _xlfn.XLOOKUP(D175,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75" s="56" t="str" cm="1">
        <f t="array" ref="C175">IF(D175="Empty Row", "Empty Row",
   IF(COUNTIF('Name Mapping'!H:AD, D175) &gt; 0,
      INDEX('Name Mapping'!F:F, MATCH(TRUE, MMULT(--('Name Mapping'!H:AD=D175), TRANSPOSE(COLUMN('Name Mapping'!H:AD)^0)) &gt; 0, 0)),
      "")
)</f>
        <v>Empty Row</v>
      </c>
      <c r="D175" t="str">
        <f>IF(RawDataTable[[#This Row],[Account Name and Number]]&lt;&gt;"", RawDataTable[[#This Row],[Account Name and Number]], "Empty Row")</f>
        <v>Empty Row</v>
      </c>
      <c r="E175" s="28" t="str">
        <f>IF(D175="Empty Row", "Empty Row",
   _xlfn.LET(
       _xlpm.lookupResult, _xlfn.XLOOKUP(D175, RawDataTable[Account Name and Number], RawDataTable[Investment Date], "MISSING VALUE"),
       IF(ISNUMBER(_xlpm.lookupResult), _xlpm.lookupResult, "INVALID VALUE")
   )
)</f>
        <v>Empty Row</v>
      </c>
      <c r="F175" s="29" t="str">
        <f>IF(D175="Empty Row", "Empty Row",
   _xlfn.LET(
       _xlpm.lookupResult, _xlfn.XLOOKUP(D175, RawDataTable[Account Name and Number], RawDataTable[Investment Amount], "MISSING VALUE"),
       IF(ISNUMBER(_xlpm.lookupResult), _xlpm.lookupResult, "INVALID VALUE")
   )
)</f>
        <v>Empty Row</v>
      </c>
      <c r="G175" s="28" t="str">
        <f t="shared" ca="1" si="2"/>
        <v>Empty Row</v>
      </c>
      <c r="H175" s="29" t="str">
        <f>IF(D175="Empty Row", "Empty Row",
   _xlfn.LET(
       _xlpm.lookupResult, _xlfn.XLOOKUP(D175, RawDataTable[Account Name and Number], RawDataTable[Valuation Amount], "MISSING VALUE"),
       IF(ISNUMBER(_xlpm.lookupResult), _xlpm.lookupResult, "INVALID VALUE")
   )
)</f>
        <v>Empty Row</v>
      </c>
      <c r="I175" s="2" t="str">
        <f>IF(D175="Empty Row", "Empty Row", IF(_xlfn.XLOOKUP(B175, MasterTable[IRA Custodian], MasterTable[Address], "")="", "NO STREET NAME FOUND", _xlfn.XLOOKUP(B175, MasterTable[IRA Custodian], MasterTable[Address], "")))</f>
        <v>Empty Row</v>
      </c>
      <c r="J175" s="2" t="str">
        <f>IF(D175="Empty Row", "Empty Row",
   IF(OR(
       _xlfn.XLOOKUP(B175, MasterTable[IRA Custodian], MasterTable[City], "")="",
       _xlfn.XLOOKUP(B175, MasterTable[IRA Custodian], MasterTable[State], "")="",
       _xlfn.XLOOKUP(B175, MasterTable[IRA Custodian], MasterTable[Zip], "")=""),
       "INCOMPLETE ADDRESS",
       _xlfn.CONCAT(
           _xlfn.XLOOKUP(B175, MasterTable[IRA Custodian], MasterTable[City], ""), ", ",
           _xlfn.XLOOKUP(B175, MasterTable[IRA Custodian], MasterTable[State], ""), " ",
           _xlfn.XLOOKUP(B175, MasterTable[IRA Custodian], MasterTable[Zip], "")
       )
   )
)</f>
        <v>Empty Row</v>
      </c>
    </row>
    <row r="176" spans="1:10" x14ac:dyDescent="0.25">
      <c r="A176" t="str">
        <f>IF(D176="Empty Row", "Empty Row",
   _xlfn.LET(
       _xlpm.lookupResult, _xlfn.XLOOKUP(D176, RawDataTable[Account Name and Number], RawDataTable[Entity], "RAW DATA MISSING"),
       IF(ISBLANK(_xlpm.lookupResult), "RAW DATA MISSING", _xlpm.lookupResult)
   )
)</f>
        <v>Empty Row</v>
      </c>
      <c r="B176" t="str">
        <f>IF(D176="Empty Row", "Empty Row",
   _xlfn.LET(
       _xlpm.rawDataLookup, _xlfn.XLOOKUP(D176,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76" s="56" t="str" cm="1">
        <f t="array" ref="C176">IF(D176="Empty Row", "Empty Row",
   IF(COUNTIF('Name Mapping'!H:AD, D176) &gt; 0,
      INDEX('Name Mapping'!F:F, MATCH(TRUE, MMULT(--('Name Mapping'!H:AD=D176), TRANSPOSE(COLUMN('Name Mapping'!H:AD)^0)) &gt; 0, 0)),
      "")
)</f>
        <v>Empty Row</v>
      </c>
      <c r="D176" t="str">
        <f>IF(RawDataTable[[#This Row],[Account Name and Number]]&lt;&gt;"", RawDataTable[[#This Row],[Account Name and Number]], "Empty Row")</f>
        <v>Empty Row</v>
      </c>
      <c r="E176" s="28" t="str">
        <f>IF(D176="Empty Row", "Empty Row",
   _xlfn.LET(
       _xlpm.lookupResult, _xlfn.XLOOKUP(D176, RawDataTable[Account Name and Number], RawDataTable[Investment Date], "MISSING VALUE"),
       IF(ISNUMBER(_xlpm.lookupResult), _xlpm.lookupResult, "INVALID VALUE")
   )
)</f>
        <v>Empty Row</v>
      </c>
      <c r="F176" s="29" t="str">
        <f>IF(D176="Empty Row", "Empty Row",
   _xlfn.LET(
       _xlpm.lookupResult, _xlfn.XLOOKUP(D176, RawDataTable[Account Name and Number], RawDataTable[Investment Amount], "MISSING VALUE"),
       IF(ISNUMBER(_xlpm.lookupResult), _xlpm.lookupResult, "INVALID VALUE")
   )
)</f>
        <v>Empty Row</v>
      </c>
      <c r="G176" s="28" t="str">
        <f t="shared" ca="1" si="2"/>
        <v>Empty Row</v>
      </c>
      <c r="H176" s="29" t="str">
        <f>IF(D176="Empty Row", "Empty Row",
   _xlfn.LET(
       _xlpm.lookupResult, _xlfn.XLOOKUP(D176, RawDataTable[Account Name and Number], RawDataTable[Valuation Amount], "MISSING VALUE"),
       IF(ISNUMBER(_xlpm.lookupResult), _xlpm.lookupResult, "INVALID VALUE")
   )
)</f>
        <v>Empty Row</v>
      </c>
      <c r="I176" s="2" t="str">
        <f>IF(D176="Empty Row", "Empty Row", IF(_xlfn.XLOOKUP(B176, MasterTable[IRA Custodian], MasterTable[Address], "")="", "NO STREET NAME FOUND", _xlfn.XLOOKUP(B176, MasterTable[IRA Custodian], MasterTable[Address], "")))</f>
        <v>Empty Row</v>
      </c>
      <c r="J176" s="2" t="str">
        <f>IF(D176="Empty Row", "Empty Row",
   IF(OR(
       _xlfn.XLOOKUP(B176, MasterTable[IRA Custodian], MasterTable[City], "")="",
       _xlfn.XLOOKUP(B176, MasterTable[IRA Custodian], MasterTable[State], "")="",
       _xlfn.XLOOKUP(B176, MasterTable[IRA Custodian], MasterTable[Zip], "")=""),
       "INCOMPLETE ADDRESS",
       _xlfn.CONCAT(
           _xlfn.XLOOKUP(B176, MasterTable[IRA Custodian], MasterTable[City], ""), ", ",
           _xlfn.XLOOKUP(B176, MasterTable[IRA Custodian], MasterTable[State], ""), " ",
           _xlfn.XLOOKUP(B176, MasterTable[IRA Custodian], MasterTable[Zip], "")
       )
   )
)</f>
        <v>Empty Row</v>
      </c>
    </row>
    <row r="177" spans="1:10" x14ac:dyDescent="0.25">
      <c r="A177" t="str">
        <f>IF(D177="Empty Row", "Empty Row",
   _xlfn.LET(
       _xlpm.lookupResult, _xlfn.XLOOKUP(D177, RawDataTable[Account Name and Number], RawDataTable[Entity], "RAW DATA MISSING"),
       IF(ISBLANK(_xlpm.lookupResult), "RAW DATA MISSING", _xlpm.lookupResult)
   )
)</f>
        <v>Empty Row</v>
      </c>
      <c r="B177" t="str">
        <f>IF(D177="Empty Row", "Empty Row",
   _xlfn.LET(
       _xlpm.rawDataLookup, _xlfn.XLOOKUP(D177,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77" s="56" t="str" cm="1">
        <f t="array" ref="C177">IF(D177="Empty Row", "Empty Row",
   IF(COUNTIF('Name Mapping'!H:AD, D177) &gt; 0,
      INDEX('Name Mapping'!F:F, MATCH(TRUE, MMULT(--('Name Mapping'!H:AD=D177), TRANSPOSE(COLUMN('Name Mapping'!H:AD)^0)) &gt; 0, 0)),
      "")
)</f>
        <v>Empty Row</v>
      </c>
      <c r="D177" t="str">
        <f>IF(RawDataTable[[#This Row],[Account Name and Number]]&lt;&gt;"", RawDataTable[[#This Row],[Account Name and Number]], "Empty Row")</f>
        <v>Empty Row</v>
      </c>
      <c r="E177" s="28" t="str">
        <f>IF(D177="Empty Row", "Empty Row",
   _xlfn.LET(
       _xlpm.lookupResult, _xlfn.XLOOKUP(D177, RawDataTable[Account Name and Number], RawDataTable[Investment Date], "MISSING VALUE"),
       IF(ISNUMBER(_xlpm.lookupResult), _xlpm.lookupResult, "INVALID VALUE")
   )
)</f>
        <v>Empty Row</v>
      </c>
      <c r="F177" s="29" t="str">
        <f>IF(D177="Empty Row", "Empty Row",
   _xlfn.LET(
       _xlpm.lookupResult, _xlfn.XLOOKUP(D177, RawDataTable[Account Name and Number], RawDataTable[Investment Amount], "MISSING VALUE"),
       IF(ISNUMBER(_xlpm.lookupResult), _xlpm.lookupResult, "INVALID VALUE")
   )
)</f>
        <v>Empty Row</v>
      </c>
      <c r="G177" s="28" t="str">
        <f t="shared" ca="1" si="2"/>
        <v>Empty Row</v>
      </c>
      <c r="H177" s="29" t="str">
        <f>IF(D177="Empty Row", "Empty Row",
   _xlfn.LET(
       _xlpm.lookupResult, _xlfn.XLOOKUP(D177, RawDataTable[Account Name and Number], RawDataTable[Valuation Amount], "MISSING VALUE"),
       IF(ISNUMBER(_xlpm.lookupResult), _xlpm.lookupResult, "INVALID VALUE")
   )
)</f>
        <v>Empty Row</v>
      </c>
      <c r="I177" s="2" t="str">
        <f>IF(D177="Empty Row", "Empty Row", IF(_xlfn.XLOOKUP(B177, MasterTable[IRA Custodian], MasterTable[Address], "")="", "NO STREET NAME FOUND", _xlfn.XLOOKUP(B177, MasterTable[IRA Custodian], MasterTable[Address], "")))</f>
        <v>Empty Row</v>
      </c>
      <c r="J177" s="2" t="str">
        <f>IF(D177="Empty Row", "Empty Row",
   IF(OR(
       _xlfn.XLOOKUP(B177, MasterTable[IRA Custodian], MasterTable[City], "")="",
       _xlfn.XLOOKUP(B177, MasterTable[IRA Custodian], MasterTable[State], "")="",
       _xlfn.XLOOKUP(B177, MasterTable[IRA Custodian], MasterTable[Zip], "")=""),
       "INCOMPLETE ADDRESS",
       _xlfn.CONCAT(
           _xlfn.XLOOKUP(B177, MasterTable[IRA Custodian], MasterTable[City], ""), ", ",
           _xlfn.XLOOKUP(B177, MasterTable[IRA Custodian], MasterTable[State], ""), " ",
           _xlfn.XLOOKUP(B177, MasterTable[IRA Custodian], MasterTable[Zip], "")
       )
   )
)</f>
        <v>Empty Row</v>
      </c>
    </row>
    <row r="178" spans="1:10" x14ac:dyDescent="0.25">
      <c r="A178" t="str">
        <f>IF(D178="Empty Row", "Empty Row",
   _xlfn.LET(
       _xlpm.lookupResult, _xlfn.XLOOKUP(D178, RawDataTable[Account Name and Number], RawDataTable[Entity], "RAW DATA MISSING"),
       IF(ISBLANK(_xlpm.lookupResult), "RAW DATA MISSING", _xlpm.lookupResult)
   )
)</f>
        <v>Empty Row</v>
      </c>
      <c r="B178" t="str">
        <f>IF(D178="Empty Row", "Empty Row",
   _xlfn.LET(
       _xlpm.rawDataLookup, _xlfn.XLOOKUP(D178,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78" s="56" t="str" cm="1">
        <f t="array" ref="C178">IF(D178="Empty Row", "Empty Row",
   IF(COUNTIF('Name Mapping'!H:AD, D178) &gt; 0,
      INDEX('Name Mapping'!F:F, MATCH(TRUE, MMULT(--('Name Mapping'!H:AD=D178), TRANSPOSE(COLUMN('Name Mapping'!H:AD)^0)) &gt; 0, 0)),
      "")
)</f>
        <v>Empty Row</v>
      </c>
      <c r="D178" t="str">
        <f>IF(RawDataTable[[#This Row],[Account Name and Number]]&lt;&gt;"", RawDataTable[[#This Row],[Account Name and Number]], "Empty Row")</f>
        <v>Empty Row</v>
      </c>
      <c r="E178" s="28" t="str">
        <f>IF(D178="Empty Row", "Empty Row",
   _xlfn.LET(
       _xlpm.lookupResult, _xlfn.XLOOKUP(D178, RawDataTable[Account Name and Number], RawDataTable[Investment Date], "MISSING VALUE"),
       IF(ISNUMBER(_xlpm.lookupResult), _xlpm.lookupResult, "INVALID VALUE")
   )
)</f>
        <v>Empty Row</v>
      </c>
      <c r="F178" s="29" t="str">
        <f>IF(D178="Empty Row", "Empty Row",
   _xlfn.LET(
       _xlpm.lookupResult, _xlfn.XLOOKUP(D178, RawDataTable[Account Name and Number], RawDataTable[Investment Amount], "MISSING VALUE"),
       IF(ISNUMBER(_xlpm.lookupResult), _xlpm.lookupResult, "INVALID VALUE")
   )
)</f>
        <v>Empty Row</v>
      </c>
      <c r="G178" s="28" t="str">
        <f t="shared" ca="1" si="2"/>
        <v>Empty Row</v>
      </c>
      <c r="H178" s="29" t="str">
        <f>IF(D178="Empty Row", "Empty Row",
   _xlfn.LET(
       _xlpm.lookupResult, _xlfn.XLOOKUP(D178, RawDataTable[Account Name and Number], RawDataTable[Valuation Amount], "MISSING VALUE"),
       IF(ISNUMBER(_xlpm.lookupResult), _xlpm.lookupResult, "INVALID VALUE")
   )
)</f>
        <v>Empty Row</v>
      </c>
      <c r="I178" s="2" t="str">
        <f>IF(D178="Empty Row", "Empty Row", IF(_xlfn.XLOOKUP(B178, MasterTable[IRA Custodian], MasterTable[Address], "")="", "NO STREET NAME FOUND", _xlfn.XLOOKUP(B178, MasterTable[IRA Custodian], MasterTable[Address], "")))</f>
        <v>Empty Row</v>
      </c>
      <c r="J178" s="2" t="str">
        <f>IF(D178="Empty Row", "Empty Row",
   IF(OR(
       _xlfn.XLOOKUP(B178, MasterTable[IRA Custodian], MasterTable[City], "")="",
       _xlfn.XLOOKUP(B178, MasterTable[IRA Custodian], MasterTable[State], "")="",
       _xlfn.XLOOKUP(B178, MasterTable[IRA Custodian], MasterTable[Zip], "")=""),
       "INCOMPLETE ADDRESS",
       _xlfn.CONCAT(
           _xlfn.XLOOKUP(B178, MasterTable[IRA Custodian], MasterTable[City], ""), ", ",
           _xlfn.XLOOKUP(B178, MasterTable[IRA Custodian], MasterTable[State], ""), " ",
           _xlfn.XLOOKUP(B178, MasterTable[IRA Custodian], MasterTable[Zip], "")
       )
   )
)</f>
        <v>Empty Row</v>
      </c>
    </row>
    <row r="179" spans="1:10" x14ac:dyDescent="0.25">
      <c r="A179" t="str">
        <f>IF(D179="Empty Row", "Empty Row",
   _xlfn.LET(
       _xlpm.lookupResult, _xlfn.XLOOKUP(D179, RawDataTable[Account Name and Number], RawDataTable[Entity], "RAW DATA MISSING"),
       IF(ISBLANK(_xlpm.lookupResult), "RAW DATA MISSING", _xlpm.lookupResult)
   )
)</f>
        <v>Empty Row</v>
      </c>
      <c r="B179" t="str">
        <f>IF(D179="Empty Row", "Empty Row",
   _xlfn.LET(
       _xlpm.rawDataLookup, _xlfn.XLOOKUP(D179,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79" s="56" t="str" cm="1">
        <f t="array" ref="C179">IF(D179="Empty Row", "Empty Row",
   IF(COUNTIF('Name Mapping'!H:AD, D179) &gt; 0,
      INDEX('Name Mapping'!F:F, MATCH(TRUE, MMULT(--('Name Mapping'!H:AD=D179), TRANSPOSE(COLUMN('Name Mapping'!H:AD)^0)) &gt; 0, 0)),
      "")
)</f>
        <v>Empty Row</v>
      </c>
      <c r="D179" t="str">
        <f>IF(RawDataTable[[#This Row],[Account Name and Number]]&lt;&gt;"", RawDataTable[[#This Row],[Account Name and Number]], "Empty Row")</f>
        <v>Empty Row</v>
      </c>
      <c r="E179" s="28" t="str">
        <f>IF(D179="Empty Row", "Empty Row",
   _xlfn.LET(
       _xlpm.lookupResult, _xlfn.XLOOKUP(D179, RawDataTable[Account Name and Number], RawDataTable[Investment Date], "MISSING VALUE"),
       IF(ISNUMBER(_xlpm.lookupResult), _xlpm.lookupResult, "INVALID VALUE")
   )
)</f>
        <v>Empty Row</v>
      </c>
      <c r="F179" s="29" t="str">
        <f>IF(D179="Empty Row", "Empty Row",
   _xlfn.LET(
       _xlpm.lookupResult, _xlfn.XLOOKUP(D179, RawDataTable[Account Name and Number], RawDataTable[Investment Amount], "MISSING VALUE"),
       IF(ISNUMBER(_xlpm.lookupResult), _xlpm.lookupResult, "INVALID VALUE")
   )
)</f>
        <v>Empty Row</v>
      </c>
      <c r="G179" s="28" t="str">
        <f t="shared" ca="1" si="2"/>
        <v>Empty Row</v>
      </c>
      <c r="H179" s="29" t="str">
        <f>IF(D179="Empty Row", "Empty Row",
   _xlfn.LET(
       _xlpm.lookupResult, _xlfn.XLOOKUP(D179, RawDataTable[Account Name and Number], RawDataTable[Valuation Amount], "MISSING VALUE"),
       IF(ISNUMBER(_xlpm.lookupResult), _xlpm.lookupResult, "INVALID VALUE")
   )
)</f>
        <v>Empty Row</v>
      </c>
      <c r="I179" s="2" t="str">
        <f>IF(D179="Empty Row", "Empty Row", IF(_xlfn.XLOOKUP(B179, MasterTable[IRA Custodian], MasterTable[Address], "")="", "NO STREET NAME FOUND", _xlfn.XLOOKUP(B179, MasterTable[IRA Custodian], MasterTable[Address], "")))</f>
        <v>Empty Row</v>
      </c>
      <c r="J179" s="2" t="str">
        <f>IF(D179="Empty Row", "Empty Row",
   IF(OR(
       _xlfn.XLOOKUP(B179, MasterTable[IRA Custodian], MasterTable[City], "")="",
       _xlfn.XLOOKUP(B179, MasterTable[IRA Custodian], MasterTable[State], "")="",
       _xlfn.XLOOKUP(B179, MasterTable[IRA Custodian], MasterTable[Zip], "")=""),
       "INCOMPLETE ADDRESS",
       _xlfn.CONCAT(
           _xlfn.XLOOKUP(B179, MasterTable[IRA Custodian], MasterTable[City], ""), ", ",
           _xlfn.XLOOKUP(B179, MasterTable[IRA Custodian], MasterTable[State], ""), " ",
           _xlfn.XLOOKUP(B179, MasterTable[IRA Custodian], MasterTable[Zip], "")
       )
   )
)</f>
        <v>Empty Row</v>
      </c>
    </row>
    <row r="180" spans="1:10" x14ac:dyDescent="0.25">
      <c r="A180" t="str">
        <f>IF(D180="Empty Row", "Empty Row",
   _xlfn.LET(
       _xlpm.lookupResult, _xlfn.XLOOKUP(D180, RawDataTable[Account Name and Number], RawDataTable[Entity], "RAW DATA MISSING"),
       IF(ISBLANK(_xlpm.lookupResult), "RAW DATA MISSING", _xlpm.lookupResult)
   )
)</f>
        <v>Empty Row</v>
      </c>
      <c r="B180" t="str">
        <f>IF(D180="Empty Row", "Empty Row",
   _xlfn.LET(
       _xlpm.rawDataLookup, _xlfn.XLOOKUP(D180,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80" s="56" t="str" cm="1">
        <f t="array" ref="C180">IF(D180="Empty Row", "Empty Row",
   IF(COUNTIF('Name Mapping'!H:AD, D180) &gt; 0,
      INDEX('Name Mapping'!F:F, MATCH(TRUE, MMULT(--('Name Mapping'!H:AD=D180), TRANSPOSE(COLUMN('Name Mapping'!H:AD)^0)) &gt; 0, 0)),
      "")
)</f>
        <v>Empty Row</v>
      </c>
      <c r="D180" t="str">
        <f>IF(RawDataTable[[#This Row],[Account Name and Number]]&lt;&gt;"", RawDataTable[[#This Row],[Account Name and Number]], "Empty Row")</f>
        <v>Empty Row</v>
      </c>
      <c r="E180" s="28" t="str">
        <f>IF(D180="Empty Row", "Empty Row",
   _xlfn.LET(
       _xlpm.lookupResult, _xlfn.XLOOKUP(D180, RawDataTable[Account Name and Number], RawDataTable[Investment Date], "MISSING VALUE"),
       IF(ISNUMBER(_xlpm.lookupResult), _xlpm.lookupResult, "INVALID VALUE")
   )
)</f>
        <v>Empty Row</v>
      </c>
      <c r="F180" s="29" t="str">
        <f>IF(D180="Empty Row", "Empty Row",
   _xlfn.LET(
       _xlpm.lookupResult, _xlfn.XLOOKUP(D180, RawDataTable[Account Name and Number], RawDataTable[Investment Amount], "MISSING VALUE"),
       IF(ISNUMBER(_xlpm.lookupResult), _xlpm.lookupResult, "INVALID VALUE")
   )
)</f>
        <v>Empty Row</v>
      </c>
      <c r="G180" s="28" t="str">
        <f t="shared" ca="1" si="2"/>
        <v>Empty Row</v>
      </c>
      <c r="H180" s="29" t="str">
        <f>IF(D180="Empty Row", "Empty Row",
   _xlfn.LET(
       _xlpm.lookupResult, _xlfn.XLOOKUP(D180, RawDataTable[Account Name and Number], RawDataTable[Valuation Amount], "MISSING VALUE"),
       IF(ISNUMBER(_xlpm.lookupResult), _xlpm.lookupResult, "INVALID VALUE")
   )
)</f>
        <v>Empty Row</v>
      </c>
      <c r="I180" s="2" t="str">
        <f>IF(D180="Empty Row", "Empty Row", IF(_xlfn.XLOOKUP(B180, MasterTable[IRA Custodian], MasterTable[Address], "")="", "NO STREET NAME FOUND", _xlfn.XLOOKUP(B180, MasterTable[IRA Custodian], MasterTable[Address], "")))</f>
        <v>Empty Row</v>
      </c>
      <c r="J180" s="2" t="str">
        <f>IF(D180="Empty Row", "Empty Row",
   IF(OR(
       _xlfn.XLOOKUP(B180, MasterTable[IRA Custodian], MasterTable[City], "")="",
       _xlfn.XLOOKUP(B180, MasterTable[IRA Custodian], MasterTable[State], "")="",
       _xlfn.XLOOKUP(B180, MasterTable[IRA Custodian], MasterTable[Zip], "")=""),
       "INCOMPLETE ADDRESS",
       _xlfn.CONCAT(
           _xlfn.XLOOKUP(B180, MasterTable[IRA Custodian], MasterTable[City], ""), ", ",
           _xlfn.XLOOKUP(B180, MasterTable[IRA Custodian], MasterTable[State], ""), " ",
           _xlfn.XLOOKUP(B180, MasterTable[IRA Custodian], MasterTable[Zip], "")
       )
   )
)</f>
        <v>Empty Row</v>
      </c>
    </row>
    <row r="181" spans="1:10" x14ac:dyDescent="0.25">
      <c r="A181" t="str">
        <f>IF(D181="Empty Row", "Empty Row",
   _xlfn.LET(
       _xlpm.lookupResult, _xlfn.XLOOKUP(D181, RawDataTable[Account Name and Number], RawDataTable[Entity], "RAW DATA MISSING"),
       IF(ISBLANK(_xlpm.lookupResult), "RAW DATA MISSING", _xlpm.lookupResult)
   )
)</f>
        <v>Empty Row</v>
      </c>
      <c r="B181" t="str">
        <f>IF(D181="Empty Row", "Empty Row",
   _xlfn.LET(
       _xlpm.rawDataLookup, _xlfn.XLOOKUP(D181,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81" s="56" t="str" cm="1">
        <f t="array" ref="C181">IF(D181="Empty Row", "Empty Row",
   IF(COUNTIF('Name Mapping'!H:AD, D181) &gt; 0,
      INDEX('Name Mapping'!F:F, MATCH(TRUE, MMULT(--('Name Mapping'!H:AD=D181), TRANSPOSE(COLUMN('Name Mapping'!H:AD)^0)) &gt; 0, 0)),
      "")
)</f>
        <v>Empty Row</v>
      </c>
      <c r="D181" t="str">
        <f>IF(RawDataTable[[#This Row],[Account Name and Number]]&lt;&gt;"", RawDataTable[[#This Row],[Account Name and Number]], "Empty Row")</f>
        <v>Empty Row</v>
      </c>
      <c r="E181" s="28" t="str">
        <f>IF(D181="Empty Row", "Empty Row",
   _xlfn.LET(
       _xlpm.lookupResult, _xlfn.XLOOKUP(D181, RawDataTable[Account Name and Number], RawDataTable[Investment Date], "MISSING VALUE"),
       IF(ISNUMBER(_xlpm.lookupResult), _xlpm.lookupResult, "INVALID VALUE")
   )
)</f>
        <v>Empty Row</v>
      </c>
      <c r="F181" s="29" t="str">
        <f>IF(D181="Empty Row", "Empty Row",
   _xlfn.LET(
       _xlpm.lookupResult, _xlfn.XLOOKUP(D181, RawDataTable[Account Name and Number], RawDataTable[Investment Amount], "MISSING VALUE"),
       IF(ISNUMBER(_xlpm.lookupResult), _xlpm.lookupResult, "INVALID VALUE")
   )
)</f>
        <v>Empty Row</v>
      </c>
      <c r="G181" s="28" t="str">
        <f t="shared" ca="1" si="2"/>
        <v>Empty Row</v>
      </c>
      <c r="H181" s="29" t="str">
        <f>IF(D181="Empty Row", "Empty Row",
   _xlfn.LET(
       _xlpm.lookupResult, _xlfn.XLOOKUP(D181, RawDataTable[Account Name and Number], RawDataTable[Valuation Amount], "MISSING VALUE"),
       IF(ISNUMBER(_xlpm.lookupResult), _xlpm.lookupResult, "INVALID VALUE")
   )
)</f>
        <v>Empty Row</v>
      </c>
      <c r="I181" s="2" t="str">
        <f>IF(D181="Empty Row", "Empty Row", IF(_xlfn.XLOOKUP(B181, MasterTable[IRA Custodian], MasterTable[Address], "")="", "NO STREET NAME FOUND", _xlfn.XLOOKUP(B181, MasterTable[IRA Custodian], MasterTable[Address], "")))</f>
        <v>Empty Row</v>
      </c>
      <c r="J181" s="2" t="str">
        <f>IF(D181="Empty Row", "Empty Row",
   IF(OR(
       _xlfn.XLOOKUP(B181, MasterTable[IRA Custodian], MasterTable[City], "")="",
       _xlfn.XLOOKUP(B181, MasterTable[IRA Custodian], MasterTable[State], "")="",
       _xlfn.XLOOKUP(B181, MasterTable[IRA Custodian], MasterTable[Zip], "")=""),
       "INCOMPLETE ADDRESS",
       _xlfn.CONCAT(
           _xlfn.XLOOKUP(B181, MasterTable[IRA Custodian], MasterTable[City], ""), ", ",
           _xlfn.XLOOKUP(B181, MasterTable[IRA Custodian], MasterTable[State], ""), " ",
           _xlfn.XLOOKUP(B181, MasterTable[IRA Custodian], MasterTable[Zip], "")
       )
   )
)</f>
        <v>Empty Row</v>
      </c>
    </row>
    <row r="182" spans="1:10" x14ac:dyDescent="0.25">
      <c r="A182" t="str">
        <f>IF(D182="Empty Row", "Empty Row",
   _xlfn.LET(
       _xlpm.lookupResult, _xlfn.XLOOKUP(D182, RawDataTable[Account Name and Number], RawDataTable[Entity], "RAW DATA MISSING"),
       IF(ISBLANK(_xlpm.lookupResult), "RAW DATA MISSING", _xlpm.lookupResult)
   )
)</f>
        <v>Empty Row</v>
      </c>
      <c r="B182" t="str">
        <f>IF(D182="Empty Row", "Empty Row",
   _xlfn.LET(
       _xlpm.rawDataLookup, _xlfn.XLOOKUP(D182,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82" s="56" t="str" cm="1">
        <f t="array" ref="C182">IF(D182="Empty Row", "Empty Row",
   IF(COUNTIF('Name Mapping'!H:AD, D182) &gt; 0,
      INDEX('Name Mapping'!F:F, MATCH(TRUE, MMULT(--('Name Mapping'!H:AD=D182), TRANSPOSE(COLUMN('Name Mapping'!H:AD)^0)) &gt; 0, 0)),
      "")
)</f>
        <v>Empty Row</v>
      </c>
      <c r="D182" t="str">
        <f>IF(RawDataTable[[#This Row],[Account Name and Number]]&lt;&gt;"", RawDataTable[[#This Row],[Account Name and Number]], "Empty Row")</f>
        <v>Empty Row</v>
      </c>
      <c r="E182" s="28" t="str">
        <f>IF(D182="Empty Row", "Empty Row",
   _xlfn.LET(
       _xlpm.lookupResult, _xlfn.XLOOKUP(D182, RawDataTable[Account Name and Number], RawDataTable[Investment Date], "MISSING VALUE"),
       IF(ISNUMBER(_xlpm.lookupResult), _xlpm.lookupResult, "INVALID VALUE")
   )
)</f>
        <v>Empty Row</v>
      </c>
      <c r="F182" s="29" t="str">
        <f>IF(D182="Empty Row", "Empty Row",
   _xlfn.LET(
       _xlpm.lookupResult, _xlfn.XLOOKUP(D182, RawDataTable[Account Name and Number], RawDataTable[Investment Amount], "MISSING VALUE"),
       IF(ISNUMBER(_xlpm.lookupResult), _xlpm.lookupResult, "INVALID VALUE")
   )
)</f>
        <v>Empty Row</v>
      </c>
      <c r="G182" s="28" t="str">
        <f t="shared" ca="1" si="2"/>
        <v>Empty Row</v>
      </c>
      <c r="H182" s="29" t="str">
        <f>IF(D182="Empty Row", "Empty Row",
   _xlfn.LET(
       _xlpm.lookupResult, _xlfn.XLOOKUP(D182, RawDataTable[Account Name and Number], RawDataTable[Valuation Amount], "MISSING VALUE"),
       IF(ISNUMBER(_xlpm.lookupResult), _xlpm.lookupResult, "INVALID VALUE")
   )
)</f>
        <v>Empty Row</v>
      </c>
      <c r="I182" s="2" t="str">
        <f>IF(D182="Empty Row", "Empty Row", IF(_xlfn.XLOOKUP(B182, MasterTable[IRA Custodian], MasterTable[Address], "")="", "NO STREET NAME FOUND", _xlfn.XLOOKUP(B182, MasterTable[IRA Custodian], MasterTable[Address], "")))</f>
        <v>Empty Row</v>
      </c>
      <c r="J182" s="2" t="str">
        <f>IF(D182="Empty Row", "Empty Row",
   IF(OR(
       _xlfn.XLOOKUP(B182, MasterTable[IRA Custodian], MasterTable[City], "")="",
       _xlfn.XLOOKUP(B182, MasterTable[IRA Custodian], MasterTable[State], "")="",
       _xlfn.XLOOKUP(B182, MasterTable[IRA Custodian], MasterTable[Zip], "")=""),
       "INCOMPLETE ADDRESS",
       _xlfn.CONCAT(
           _xlfn.XLOOKUP(B182, MasterTable[IRA Custodian], MasterTable[City], ""), ", ",
           _xlfn.XLOOKUP(B182, MasterTable[IRA Custodian], MasterTable[State], ""), " ",
           _xlfn.XLOOKUP(B182, MasterTable[IRA Custodian], MasterTable[Zip], "")
       )
   )
)</f>
        <v>Empty Row</v>
      </c>
    </row>
    <row r="183" spans="1:10" x14ac:dyDescent="0.25">
      <c r="A183" t="str">
        <f>IF(D183="Empty Row", "Empty Row",
   _xlfn.LET(
       _xlpm.lookupResult, _xlfn.XLOOKUP(D183, RawDataTable[Account Name and Number], RawDataTable[Entity], "RAW DATA MISSING"),
       IF(ISBLANK(_xlpm.lookupResult), "RAW DATA MISSING", _xlpm.lookupResult)
   )
)</f>
        <v>Empty Row</v>
      </c>
      <c r="B183" t="str">
        <f>IF(D183="Empty Row", "Empty Row",
   _xlfn.LET(
       _xlpm.rawDataLookup, _xlfn.XLOOKUP(D183,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83" s="56" t="str" cm="1">
        <f t="array" ref="C183">IF(D183="Empty Row", "Empty Row",
   IF(COUNTIF('Name Mapping'!H:AD, D183) &gt; 0,
      INDEX('Name Mapping'!F:F, MATCH(TRUE, MMULT(--('Name Mapping'!H:AD=D183), TRANSPOSE(COLUMN('Name Mapping'!H:AD)^0)) &gt; 0, 0)),
      "")
)</f>
        <v>Empty Row</v>
      </c>
      <c r="D183" t="str">
        <f>IF(RawDataTable[[#This Row],[Account Name and Number]]&lt;&gt;"", RawDataTable[[#This Row],[Account Name and Number]], "Empty Row")</f>
        <v>Empty Row</v>
      </c>
      <c r="E183" s="28" t="str">
        <f>IF(D183="Empty Row", "Empty Row",
   _xlfn.LET(
       _xlpm.lookupResult, _xlfn.XLOOKUP(D183, RawDataTable[Account Name and Number], RawDataTable[Investment Date], "MISSING VALUE"),
       IF(ISNUMBER(_xlpm.lookupResult), _xlpm.lookupResult, "INVALID VALUE")
   )
)</f>
        <v>Empty Row</v>
      </c>
      <c r="F183" s="29" t="str">
        <f>IF(D183="Empty Row", "Empty Row",
   _xlfn.LET(
       _xlpm.lookupResult, _xlfn.XLOOKUP(D183, RawDataTable[Account Name and Number], RawDataTable[Investment Amount], "MISSING VALUE"),
       IF(ISNUMBER(_xlpm.lookupResult), _xlpm.lookupResult, "INVALID VALUE")
   )
)</f>
        <v>Empty Row</v>
      </c>
      <c r="G183" s="28" t="str">
        <f t="shared" ca="1" si="2"/>
        <v>Empty Row</v>
      </c>
      <c r="H183" s="29" t="str">
        <f>IF(D183="Empty Row", "Empty Row",
   _xlfn.LET(
       _xlpm.lookupResult, _xlfn.XLOOKUP(D183, RawDataTable[Account Name and Number], RawDataTable[Valuation Amount], "MISSING VALUE"),
       IF(ISNUMBER(_xlpm.lookupResult), _xlpm.lookupResult, "INVALID VALUE")
   )
)</f>
        <v>Empty Row</v>
      </c>
      <c r="I183" s="2" t="str">
        <f>IF(D183="Empty Row", "Empty Row", IF(_xlfn.XLOOKUP(B183, MasterTable[IRA Custodian], MasterTable[Address], "")="", "NO STREET NAME FOUND", _xlfn.XLOOKUP(B183, MasterTable[IRA Custodian], MasterTable[Address], "")))</f>
        <v>Empty Row</v>
      </c>
      <c r="J183" s="2" t="str">
        <f>IF(D183="Empty Row", "Empty Row",
   IF(OR(
       _xlfn.XLOOKUP(B183, MasterTable[IRA Custodian], MasterTable[City], "")="",
       _xlfn.XLOOKUP(B183, MasterTable[IRA Custodian], MasterTable[State], "")="",
       _xlfn.XLOOKUP(B183, MasterTable[IRA Custodian], MasterTable[Zip], "")=""),
       "INCOMPLETE ADDRESS",
       _xlfn.CONCAT(
           _xlfn.XLOOKUP(B183, MasterTable[IRA Custodian], MasterTable[City], ""), ", ",
           _xlfn.XLOOKUP(B183, MasterTable[IRA Custodian], MasterTable[State], ""), " ",
           _xlfn.XLOOKUP(B183, MasterTable[IRA Custodian], MasterTable[Zip], "")
       )
   )
)</f>
        <v>Empty Row</v>
      </c>
    </row>
    <row r="184" spans="1:10" x14ac:dyDescent="0.25">
      <c r="A184" t="str">
        <f>IF(D184="Empty Row", "Empty Row",
   _xlfn.LET(
       _xlpm.lookupResult, _xlfn.XLOOKUP(D184, RawDataTable[Account Name and Number], RawDataTable[Entity], "RAW DATA MISSING"),
       IF(ISBLANK(_xlpm.lookupResult), "RAW DATA MISSING", _xlpm.lookupResult)
   )
)</f>
        <v>Empty Row</v>
      </c>
      <c r="B184" t="str">
        <f>IF(D184="Empty Row", "Empty Row",
   _xlfn.LET(
       _xlpm.rawDataLookup, _xlfn.XLOOKUP(D184,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84" s="56" t="str" cm="1">
        <f t="array" ref="C184">IF(D184="Empty Row", "Empty Row",
   IF(COUNTIF('Name Mapping'!H:AD, D184) &gt; 0,
      INDEX('Name Mapping'!F:F, MATCH(TRUE, MMULT(--('Name Mapping'!H:AD=D184), TRANSPOSE(COLUMN('Name Mapping'!H:AD)^0)) &gt; 0, 0)),
      "")
)</f>
        <v>Empty Row</v>
      </c>
      <c r="D184" t="str">
        <f>IF(RawDataTable[[#This Row],[Account Name and Number]]&lt;&gt;"", RawDataTable[[#This Row],[Account Name and Number]], "Empty Row")</f>
        <v>Empty Row</v>
      </c>
      <c r="E184" s="28" t="str">
        <f>IF(D184="Empty Row", "Empty Row",
   _xlfn.LET(
       _xlpm.lookupResult, _xlfn.XLOOKUP(D184, RawDataTable[Account Name and Number], RawDataTable[Investment Date], "MISSING VALUE"),
       IF(ISNUMBER(_xlpm.lookupResult), _xlpm.lookupResult, "INVALID VALUE")
   )
)</f>
        <v>Empty Row</v>
      </c>
      <c r="F184" s="29" t="str">
        <f>IF(D184="Empty Row", "Empty Row",
   _xlfn.LET(
       _xlpm.lookupResult, _xlfn.XLOOKUP(D184, RawDataTable[Account Name and Number], RawDataTable[Investment Amount], "MISSING VALUE"),
       IF(ISNUMBER(_xlpm.lookupResult), _xlpm.lookupResult, "INVALID VALUE")
   )
)</f>
        <v>Empty Row</v>
      </c>
      <c r="G184" s="28" t="str">
        <f t="shared" ca="1" si="2"/>
        <v>Empty Row</v>
      </c>
      <c r="H184" s="29" t="str">
        <f>IF(D184="Empty Row", "Empty Row",
   _xlfn.LET(
       _xlpm.lookupResult, _xlfn.XLOOKUP(D184, RawDataTable[Account Name and Number], RawDataTable[Valuation Amount], "MISSING VALUE"),
       IF(ISNUMBER(_xlpm.lookupResult), _xlpm.lookupResult, "INVALID VALUE")
   )
)</f>
        <v>Empty Row</v>
      </c>
      <c r="I184" s="2" t="str">
        <f>IF(D184="Empty Row", "Empty Row", IF(_xlfn.XLOOKUP(B184, MasterTable[IRA Custodian], MasterTable[Address], "")="", "NO STREET NAME FOUND", _xlfn.XLOOKUP(B184, MasterTable[IRA Custodian], MasterTable[Address], "")))</f>
        <v>Empty Row</v>
      </c>
      <c r="J184" s="2" t="str">
        <f>IF(D184="Empty Row", "Empty Row",
   IF(OR(
       _xlfn.XLOOKUP(B184, MasterTable[IRA Custodian], MasterTable[City], "")="",
       _xlfn.XLOOKUP(B184, MasterTable[IRA Custodian], MasterTable[State], "")="",
       _xlfn.XLOOKUP(B184, MasterTable[IRA Custodian], MasterTable[Zip], "")=""),
       "INCOMPLETE ADDRESS",
       _xlfn.CONCAT(
           _xlfn.XLOOKUP(B184, MasterTable[IRA Custodian], MasterTable[City], ""), ", ",
           _xlfn.XLOOKUP(B184, MasterTable[IRA Custodian], MasterTable[State], ""), " ",
           _xlfn.XLOOKUP(B184, MasterTable[IRA Custodian], MasterTable[Zip], "")
       )
   )
)</f>
        <v>Empty Row</v>
      </c>
    </row>
    <row r="185" spans="1:10" x14ac:dyDescent="0.25">
      <c r="A185" t="str">
        <f>IF(D185="Empty Row", "Empty Row",
   _xlfn.LET(
       _xlpm.lookupResult, _xlfn.XLOOKUP(D185, RawDataTable[Account Name and Number], RawDataTable[Entity], "RAW DATA MISSING"),
       IF(ISBLANK(_xlpm.lookupResult), "RAW DATA MISSING", _xlpm.lookupResult)
   )
)</f>
        <v>Empty Row</v>
      </c>
      <c r="B185" t="str">
        <f>IF(D185="Empty Row", "Empty Row",
   _xlfn.LET(
       _xlpm.rawDataLookup, _xlfn.XLOOKUP(D185,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85" s="56" t="str" cm="1">
        <f t="array" ref="C185">IF(D185="Empty Row", "Empty Row",
   IF(COUNTIF('Name Mapping'!H:AD, D185) &gt; 0,
      INDEX('Name Mapping'!F:F, MATCH(TRUE, MMULT(--('Name Mapping'!H:AD=D185), TRANSPOSE(COLUMN('Name Mapping'!H:AD)^0)) &gt; 0, 0)),
      "")
)</f>
        <v>Empty Row</v>
      </c>
      <c r="D185" t="str">
        <f>IF(RawDataTable[[#This Row],[Account Name and Number]]&lt;&gt;"", RawDataTable[[#This Row],[Account Name and Number]], "Empty Row")</f>
        <v>Empty Row</v>
      </c>
      <c r="E185" s="28" t="str">
        <f>IF(D185="Empty Row", "Empty Row",
   _xlfn.LET(
       _xlpm.lookupResult, _xlfn.XLOOKUP(D185, RawDataTable[Account Name and Number], RawDataTable[Investment Date], "MISSING VALUE"),
       IF(ISNUMBER(_xlpm.lookupResult), _xlpm.lookupResult, "INVALID VALUE")
   )
)</f>
        <v>Empty Row</v>
      </c>
      <c r="F185" s="29" t="str">
        <f>IF(D185="Empty Row", "Empty Row",
   _xlfn.LET(
       _xlpm.lookupResult, _xlfn.XLOOKUP(D185, RawDataTable[Account Name and Number], RawDataTable[Investment Amount], "MISSING VALUE"),
       IF(ISNUMBER(_xlpm.lookupResult), _xlpm.lookupResult, "INVALID VALUE")
   )
)</f>
        <v>Empty Row</v>
      </c>
      <c r="G185" s="28" t="str">
        <f t="shared" ca="1" si="2"/>
        <v>Empty Row</v>
      </c>
      <c r="H185" s="29" t="str">
        <f>IF(D185="Empty Row", "Empty Row",
   _xlfn.LET(
       _xlpm.lookupResult, _xlfn.XLOOKUP(D185, RawDataTable[Account Name and Number], RawDataTable[Valuation Amount], "MISSING VALUE"),
       IF(ISNUMBER(_xlpm.lookupResult), _xlpm.lookupResult, "INVALID VALUE")
   )
)</f>
        <v>Empty Row</v>
      </c>
      <c r="I185" s="2" t="str">
        <f>IF(D185="Empty Row", "Empty Row", IF(_xlfn.XLOOKUP(B185, MasterTable[IRA Custodian], MasterTable[Address], "")="", "NO STREET NAME FOUND", _xlfn.XLOOKUP(B185, MasterTable[IRA Custodian], MasterTable[Address], "")))</f>
        <v>Empty Row</v>
      </c>
      <c r="J185" s="2" t="str">
        <f>IF(D185="Empty Row", "Empty Row",
   IF(OR(
       _xlfn.XLOOKUP(B185, MasterTable[IRA Custodian], MasterTable[City], "")="",
       _xlfn.XLOOKUP(B185, MasterTable[IRA Custodian], MasterTable[State], "")="",
       _xlfn.XLOOKUP(B185, MasterTable[IRA Custodian], MasterTable[Zip], "")=""),
       "INCOMPLETE ADDRESS",
       _xlfn.CONCAT(
           _xlfn.XLOOKUP(B185, MasterTable[IRA Custodian], MasterTable[City], ""), ", ",
           _xlfn.XLOOKUP(B185, MasterTable[IRA Custodian], MasterTable[State], ""), " ",
           _xlfn.XLOOKUP(B185, MasterTable[IRA Custodian], MasterTable[Zip], "")
       )
   )
)</f>
        <v>Empty Row</v>
      </c>
    </row>
    <row r="186" spans="1:10" x14ac:dyDescent="0.25">
      <c r="A186" t="str">
        <f>IF(D186="Empty Row", "Empty Row",
   _xlfn.LET(
       _xlpm.lookupResult, _xlfn.XLOOKUP(D186, RawDataTable[Account Name and Number], RawDataTable[Entity], "RAW DATA MISSING"),
       IF(ISBLANK(_xlpm.lookupResult), "RAW DATA MISSING", _xlpm.lookupResult)
   )
)</f>
        <v>Empty Row</v>
      </c>
      <c r="B186" t="str">
        <f>IF(D186="Empty Row", "Empty Row",
   _xlfn.LET(
       _xlpm.rawDataLookup, _xlfn.XLOOKUP(D186,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86" s="56" t="str" cm="1">
        <f t="array" ref="C186">IF(D186="Empty Row", "Empty Row",
   IF(COUNTIF('Name Mapping'!H:AD, D186) &gt; 0,
      INDEX('Name Mapping'!F:F, MATCH(TRUE, MMULT(--('Name Mapping'!H:AD=D186), TRANSPOSE(COLUMN('Name Mapping'!H:AD)^0)) &gt; 0, 0)),
      "")
)</f>
        <v>Empty Row</v>
      </c>
      <c r="D186" t="str">
        <f>IF(RawDataTable[[#This Row],[Account Name and Number]]&lt;&gt;"", RawDataTable[[#This Row],[Account Name and Number]], "Empty Row")</f>
        <v>Empty Row</v>
      </c>
      <c r="E186" s="28" t="str">
        <f>IF(D186="Empty Row", "Empty Row",
   _xlfn.LET(
       _xlpm.lookupResult, _xlfn.XLOOKUP(D186, RawDataTable[Account Name and Number], RawDataTable[Investment Date], "MISSING VALUE"),
       IF(ISNUMBER(_xlpm.lookupResult), _xlpm.lookupResult, "INVALID VALUE")
   )
)</f>
        <v>Empty Row</v>
      </c>
      <c r="F186" s="29" t="str">
        <f>IF(D186="Empty Row", "Empty Row",
   _xlfn.LET(
       _xlpm.lookupResult, _xlfn.XLOOKUP(D186, RawDataTable[Account Name and Number], RawDataTable[Investment Amount], "MISSING VALUE"),
       IF(ISNUMBER(_xlpm.lookupResult), _xlpm.lookupResult, "INVALID VALUE")
   )
)</f>
        <v>Empty Row</v>
      </c>
      <c r="G186" s="28" t="str">
        <f t="shared" ca="1" si="2"/>
        <v>Empty Row</v>
      </c>
      <c r="H186" s="29" t="str">
        <f>IF(D186="Empty Row", "Empty Row",
   _xlfn.LET(
       _xlpm.lookupResult, _xlfn.XLOOKUP(D186, RawDataTable[Account Name and Number], RawDataTable[Valuation Amount], "MISSING VALUE"),
       IF(ISNUMBER(_xlpm.lookupResult), _xlpm.lookupResult, "INVALID VALUE")
   )
)</f>
        <v>Empty Row</v>
      </c>
      <c r="I186" s="2" t="str">
        <f>IF(D186="Empty Row", "Empty Row", IF(_xlfn.XLOOKUP(B186, MasterTable[IRA Custodian], MasterTable[Address], "")="", "NO STREET NAME FOUND", _xlfn.XLOOKUP(B186, MasterTable[IRA Custodian], MasterTable[Address], "")))</f>
        <v>Empty Row</v>
      </c>
      <c r="J186" s="2" t="str">
        <f>IF(D186="Empty Row", "Empty Row",
   IF(OR(
       _xlfn.XLOOKUP(B186, MasterTable[IRA Custodian], MasterTable[City], "")="",
       _xlfn.XLOOKUP(B186, MasterTable[IRA Custodian], MasterTable[State], "")="",
       _xlfn.XLOOKUP(B186, MasterTable[IRA Custodian], MasterTable[Zip], "")=""),
       "INCOMPLETE ADDRESS",
       _xlfn.CONCAT(
           _xlfn.XLOOKUP(B186, MasterTable[IRA Custodian], MasterTable[City], ""), ", ",
           _xlfn.XLOOKUP(B186, MasterTable[IRA Custodian], MasterTable[State], ""), " ",
           _xlfn.XLOOKUP(B186, MasterTable[IRA Custodian], MasterTable[Zip], "")
       )
   )
)</f>
        <v>Empty Row</v>
      </c>
    </row>
    <row r="187" spans="1:10" x14ac:dyDescent="0.25">
      <c r="A187" t="str">
        <f>IF(D187="Empty Row", "Empty Row",
   _xlfn.LET(
       _xlpm.lookupResult, _xlfn.XLOOKUP(D187, RawDataTable[Account Name and Number], RawDataTable[Entity], "RAW DATA MISSING"),
       IF(ISBLANK(_xlpm.lookupResult), "RAW DATA MISSING", _xlpm.lookupResult)
   )
)</f>
        <v>Empty Row</v>
      </c>
      <c r="B187" t="str">
        <f>IF(D187="Empty Row", "Empty Row",
   _xlfn.LET(
       _xlpm.rawDataLookup, _xlfn.XLOOKUP(D187,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87" s="56" t="str" cm="1">
        <f t="array" ref="C187">IF(D187="Empty Row", "Empty Row",
   IF(COUNTIF('Name Mapping'!H:AD, D187) &gt; 0,
      INDEX('Name Mapping'!F:F, MATCH(TRUE, MMULT(--('Name Mapping'!H:AD=D187), TRANSPOSE(COLUMN('Name Mapping'!H:AD)^0)) &gt; 0, 0)),
      "")
)</f>
        <v>Empty Row</v>
      </c>
      <c r="D187" t="str">
        <f>IF(RawDataTable[[#This Row],[Account Name and Number]]&lt;&gt;"", RawDataTable[[#This Row],[Account Name and Number]], "Empty Row")</f>
        <v>Empty Row</v>
      </c>
      <c r="E187" s="28" t="str">
        <f>IF(D187="Empty Row", "Empty Row",
   _xlfn.LET(
       _xlpm.lookupResult, _xlfn.XLOOKUP(D187, RawDataTable[Account Name and Number], RawDataTable[Investment Date], "MISSING VALUE"),
       IF(ISNUMBER(_xlpm.lookupResult), _xlpm.lookupResult, "INVALID VALUE")
   )
)</f>
        <v>Empty Row</v>
      </c>
      <c r="F187" s="29" t="str">
        <f>IF(D187="Empty Row", "Empty Row",
   _xlfn.LET(
       _xlpm.lookupResult, _xlfn.XLOOKUP(D187, RawDataTable[Account Name and Number], RawDataTable[Investment Amount], "MISSING VALUE"),
       IF(ISNUMBER(_xlpm.lookupResult), _xlpm.lookupResult, "INVALID VALUE")
   )
)</f>
        <v>Empty Row</v>
      </c>
      <c r="G187" s="28" t="str">
        <f t="shared" ca="1" si="2"/>
        <v>Empty Row</v>
      </c>
      <c r="H187" s="29" t="str">
        <f>IF(D187="Empty Row", "Empty Row",
   _xlfn.LET(
       _xlpm.lookupResult, _xlfn.XLOOKUP(D187, RawDataTable[Account Name and Number], RawDataTable[Valuation Amount], "MISSING VALUE"),
       IF(ISNUMBER(_xlpm.lookupResult), _xlpm.lookupResult, "INVALID VALUE")
   )
)</f>
        <v>Empty Row</v>
      </c>
      <c r="I187" s="2" t="str">
        <f>IF(D187="Empty Row", "Empty Row", IF(_xlfn.XLOOKUP(B187, MasterTable[IRA Custodian], MasterTable[Address], "")="", "NO STREET NAME FOUND", _xlfn.XLOOKUP(B187, MasterTable[IRA Custodian], MasterTable[Address], "")))</f>
        <v>Empty Row</v>
      </c>
      <c r="J187" s="2" t="str">
        <f>IF(D187="Empty Row", "Empty Row",
   IF(OR(
       _xlfn.XLOOKUP(B187, MasterTable[IRA Custodian], MasterTable[City], "")="",
       _xlfn.XLOOKUP(B187, MasterTable[IRA Custodian], MasterTable[State], "")="",
       _xlfn.XLOOKUP(B187, MasterTable[IRA Custodian], MasterTable[Zip], "")=""),
       "INCOMPLETE ADDRESS",
       _xlfn.CONCAT(
           _xlfn.XLOOKUP(B187, MasterTable[IRA Custodian], MasterTable[City], ""), ", ",
           _xlfn.XLOOKUP(B187, MasterTable[IRA Custodian], MasterTable[State], ""), " ",
           _xlfn.XLOOKUP(B187, MasterTable[IRA Custodian], MasterTable[Zip], "")
       )
   )
)</f>
        <v>Empty Row</v>
      </c>
    </row>
    <row r="188" spans="1:10" x14ac:dyDescent="0.25">
      <c r="A188" t="str">
        <f>IF(D188="Empty Row", "Empty Row",
   _xlfn.LET(
       _xlpm.lookupResult, _xlfn.XLOOKUP(D188, RawDataTable[Account Name and Number], RawDataTable[Entity], "RAW DATA MISSING"),
       IF(ISBLANK(_xlpm.lookupResult), "RAW DATA MISSING", _xlpm.lookupResult)
   )
)</f>
        <v>Empty Row</v>
      </c>
      <c r="B188" t="str">
        <f>IF(D188="Empty Row", "Empty Row",
   _xlfn.LET(
       _xlpm.rawDataLookup, _xlfn.XLOOKUP(D188,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88" s="56" t="str" cm="1">
        <f t="array" ref="C188">IF(D188="Empty Row", "Empty Row",
   IF(COUNTIF('Name Mapping'!H:AD, D188) &gt; 0,
      INDEX('Name Mapping'!F:F, MATCH(TRUE, MMULT(--('Name Mapping'!H:AD=D188), TRANSPOSE(COLUMN('Name Mapping'!H:AD)^0)) &gt; 0, 0)),
      "")
)</f>
        <v>Empty Row</v>
      </c>
      <c r="D188" t="str">
        <f>IF(RawDataTable[[#This Row],[Account Name and Number]]&lt;&gt;"", RawDataTable[[#This Row],[Account Name and Number]], "Empty Row")</f>
        <v>Empty Row</v>
      </c>
      <c r="E188" s="28" t="str">
        <f>IF(D188="Empty Row", "Empty Row",
   _xlfn.LET(
       _xlpm.lookupResult, _xlfn.XLOOKUP(D188, RawDataTable[Account Name and Number], RawDataTable[Investment Date], "MISSING VALUE"),
       IF(ISNUMBER(_xlpm.lookupResult), _xlpm.lookupResult, "INVALID VALUE")
   )
)</f>
        <v>Empty Row</v>
      </c>
      <c r="F188" s="29" t="str">
        <f>IF(D188="Empty Row", "Empty Row",
   _xlfn.LET(
       _xlpm.lookupResult, _xlfn.XLOOKUP(D188, RawDataTable[Account Name and Number], RawDataTable[Investment Amount], "MISSING VALUE"),
       IF(ISNUMBER(_xlpm.lookupResult), _xlpm.lookupResult, "INVALID VALUE")
   )
)</f>
        <v>Empty Row</v>
      </c>
      <c r="G188" s="28" t="str">
        <f t="shared" ca="1" si="2"/>
        <v>Empty Row</v>
      </c>
      <c r="H188" s="29" t="str">
        <f>IF(D188="Empty Row", "Empty Row",
   _xlfn.LET(
       _xlpm.lookupResult, _xlfn.XLOOKUP(D188, RawDataTable[Account Name and Number], RawDataTable[Valuation Amount], "MISSING VALUE"),
       IF(ISNUMBER(_xlpm.lookupResult), _xlpm.lookupResult, "INVALID VALUE")
   )
)</f>
        <v>Empty Row</v>
      </c>
      <c r="I188" s="2" t="str">
        <f>IF(D188="Empty Row", "Empty Row", IF(_xlfn.XLOOKUP(B188, MasterTable[IRA Custodian], MasterTable[Address], "")="", "NO STREET NAME FOUND", _xlfn.XLOOKUP(B188, MasterTable[IRA Custodian], MasterTable[Address], "")))</f>
        <v>Empty Row</v>
      </c>
      <c r="J188" s="2" t="str">
        <f>IF(D188="Empty Row", "Empty Row",
   IF(OR(
       _xlfn.XLOOKUP(B188, MasterTable[IRA Custodian], MasterTable[City], "")="",
       _xlfn.XLOOKUP(B188, MasterTable[IRA Custodian], MasterTable[State], "")="",
       _xlfn.XLOOKUP(B188, MasterTable[IRA Custodian], MasterTable[Zip], "")=""),
       "INCOMPLETE ADDRESS",
       _xlfn.CONCAT(
           _xlfn.XLOOKUP(B188, MasterTable[IRA Custodian], MasterTable[City], ""), ", ",
           _xlfn.XLOOKUP(B188, MasterTable[IRA Custodian], MasterTable[State], ""), " ",
           _xlfn.XLOOKUP(B188, MasterTable[IRA Custodian], MasterTable[Zip], "")
       )
   )
)</f>
        <v>Empty Row</v>
      </c>
    </row>
    <row r="189" spans="1:10" x14ac:dyDescent="0.25">
      <c r="A189" t="str">
        <f>IF(D189="Empty Row", "Empty Row",
   _xlfn.LET(
       _xlpm.lookupResult, _xlfn.XLOOKUP(D189, RawDataTable[Account Name and Number], RawDataTable[Entity], "RAW DATA MISSING"),
       IF(ISBLANK(_xlpm.lookupResult), "RAW DATA MISSING", _xlpm.lookupResult)
   )
)</f>
        <v>Empty Row</v>
      </c>
      <c r="B189" t="str">
        <f>IF(D189="Empty Row", "Empty Row",
   _xlfn.LET(
       _xlpm.rawDataLookup, _xlfn.XLOOKUP(D189,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89" s="56" t="str" cm="1">
        <f t="array" ref="C189">IF(D189="Empty Row", "Empty Row",
   IF(COUNTIF('Name Mapping'!H:AD, D189) &gt; 0,
      INDEX('Name Mapping'!F:F, MATCH(TRUE, MMULT(--('Name Mapping'!H:AD=D189), TRANSPOSE(COLUMN('Name Mapping'!H:AD)^0)) &gt; 0, 0)),
      "")
)</f>
        <v>Empty Row</v>
      </c>
      <c r="D189" t="str">
        <f>IF(RawDataTable[[#This Row],[Account Name and Number]]&lt;&gt;"", RawDataTable[[#This Row],[Account Name and Number]], "Empty Row")</f>
        <v>Empty Row</v>
      </c>
      <c r="E189" s="28" t="str">
        <f>IF(D189="Empty Row", "Empty Row",
   _xlfn.LET(
       _xlpm.lookupResult, _xlfn.XLOOKUP(D189, RawDataTable[Account Name and Number], RawDataTable[Investment Date], "MISSING VALUE"),
       IF(ISNUMBER(_xlpm.lookupResult), _xlpm.lookupResult, "INVALID VALUE")
   )
)</f>
        <v>Empty Row</v>
      </c>
      <c r="F189" s="29" t="str">
        <f>IF(D189="Empty Row", "Empty Row",
   _xlfn.LET(
       _xlpm.lookupResult, _xlfn.XLOOKUP(D189, RawDataTable[Account Name and Number], RawDataTable[Investment Amount], "MISSING VALUE"),
       IF(ISNUMBER(_xlpm.lookupResult), _xlpm.lookupResult, "INVALID VALUE")
   )
)</f>
        <v>Empty Row</v>
      </c>
      <c r="G189" s="28" t="str">
        <f t="shared" ca="1" si="2"/>
        <v>Empty Row</v>
      </c>
      <c r="H189" s="29" t="str">
        <f>IF(D189="Empty Row", "Empty Row",
   _xlfn.LET(
       _xlpm.lookupResult, _xlfn.XLOOKUP(D189, RawDataTable[Account Name and Number], RawDataTable[Valuation Amount], "MISSING VALUE"),
       IF(ISNUMBER(_xlpm.lookupResult), _xlpm.lookupResult, "INVALID VALUE")
   )
)</f>
        <v>Empty Row</v>
      </c>
      <c r="I189" s="2" t="str">
        <f>IF(D189="Empty Row", "Empty Row", IF(_xlfn.XLOOKUP(B189, MasterTable[IRA Custodian], MasterTable[Address], "")="", "NO STREET NAME FOUND", _xlfn.XLOOKUP(B189, MasterTable[IRA Custodian], MasterTable[Address], "")))</f>
        <v>Empty Row</v>
      </c>
      <c r="J189" s="2" t="str">
        <f>IF(D189="Empty Row", "Empty Row",
   IF(OR(
       _xlfn.XLOOKUP(B189, MasterTable[IRA Custodian], MasterTable[City], "")="",
       _xlfn.XLOOKUP(B189, MasterTable[IRA Custodian], MasterTable[State], "")="",
       _xlfn.XLOOKUP(B189, MasterTable[IRA Custodian], MasterTable[Zip], "")=""),
       "INCOMPLETE ADDRESS",
       _xlfn.CONCAT(
           _xlfn.XLOOKUP(B189, MasterTable[IRA Custodian], MasterTable[City], ""), ", ",
           _xlfn.XLOOKUP(B189, MasterTable[IRA Custodian], MasterTable[State], ""), " ",
           _xlfn.XLOOKUP(B189, MasterTable[IRA Custodian], MasterTable[Zip], "")
       )
   )
)</f>
        <v>Empty Row</v>
      </c>
    </row>
    <row r="190" spans="1:10" x14ac:dyDescent="0.25">
      <c r="A190" t="str">
        <f>IF(D190="Empty Row", "Empty Row",
   _xlfn.LET(
       _xlpm.lookupResult, _xlfn.XLOOKUP(D190, RawDataTable[Account Name and Number], RawDataTable[Entity], "RAW DATA MISSING"),
       IF(ISBLANK(_xlpm.lookupResult), "RAW DATA MISSING", _xlpm.lookupResult)
   )
)</f>
        <v>Empty Row</v>
      </c>
      <c r="B190" t="str">
        <f>IF(D190="Empty Row", "Empty Row",
   _xlfn.LET(
       _xlpm.rawDataLookup, _xlfn.XLOOKUP(D190,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90" s="56" t="str" cm="1">
        <f t="array" ref="C190">IF(D190="Empty Row", "Empty Row",
   IF(COUNTIF('Name Mapping'!H:AD, D190) &gt; 0,
      INDEX('Name Mapping'!F:F, MATCH(TRUE, MMULT(--('Name Mapping'!H:AD=D190), TRANSPOSE(COLUMN('Name Mapping'!H:AD)^0)) &gt; 0, 0)),
      "")
)</f>
        <v>Empty Row</v>
      </c>
      <c r="D190" t="str">
        <f>IF(RawDataTable[[#This Row],[Account Name and Number]]&lt;&gt;"", RawDataTable[[#This Row],[Account Name and Number]], "Empty Row")</f>
        <v>Empty Row</v>
      </c>
      <c r="E190" s="28" t="str">
        <f>IF(D190="Empty Row", "Empty Row",
   _xlfn.LET(
       _xlpm.lookupResult, _xlfn.XLOOKUP(D190, RawDataTable[Account Name and Number], RawDataTable[Investment Date], "MISSING VALUE"),
       IF(ISNUMBER(_xlpm.lookupResult), _xlpm.lookupResult, "INVALID VALUE")
   )
)</f>
        <v>Empty Row</v>
      </c>
      <c r="F190" s="29" t="str">
        <f>IF(D190="Empty Row", "Empty Row",
   _xlfn.LET(
       _xlpm.lookupResult, _xlfn.XLOOKUP(D190, RawDataTable[Account Name and Number], RawDataTable[Investment Amount], "MISSING VALUE"),
       IF(ISNUMBER(_xlpm.lookupResult), _xlpm.lookupResult, "INVALID VALUE")
   )
)</f>
        <v>Empty Row</v>
      </c>
      <c r="G190" s="28" t="str">
        <f t="shared" ca="1" si="2"/>
        <v>Empty Row</v>
      </c>
      <c r="H190" s="29" t="str">
        <f>IF(D190="Empty Row", "Empty Row",
   _xlfn.LET(
       _xlpm.lookupResult, _xlfn.XLOOKUP(D190, RawDataTable[Account Name and Number], RawDataTable[Valuation Amount], "MISSING VALUE"),
       IF(ISNUMBER(_xlpm.lookupResult), _xlpm.lookupResult, "INVALID VALUE")
   )
)</f>
        <v>Empty Row</v>
      </c>
      <c r="I190" s="2" t="str">
        <f>IF(D190="Empty Row", "Empty Row", IF(_xlfn.XLOOKUP(B190, MasterTable[IRA Custodian], MasterTable[Address], "")="", "NO STREET NAME FOUND", _xlfn.XLOOKUP(B190, MasterTable[IRA Custodian], MasterTable[Address], "")))</f>
        <v>Empty Row</v>
      </c>
      <c r="J190" s="2" t="str">
        <f>IF(D190="Empty Row", "Empty Row",
   IF(OR(
       _xlfn.XLOOKUP(B190, MasterTable[IRA Custodian], MasterTable[City], "")="",
       _xlfn.XLOOKUP(B190, MasterTable[IRA Custodian], MasterTable[State], "")="",
       _xlfn.XLOOKUP(B190, MasterTable[IRA Custodian], MasterTable[Zip], "")=""),
       "INCOMPLETE ADDRESS",
       _xlfn.CONCAT(
           _xlfn.XLOOKUP(B190, MasterTable[IRA Custodian], MasterTable[City], ""), ", ",
           _xlfn.XLOOKUP(B190, MasterTable[IRA Custodian], MasterTable[State], ""), " ",
           _xlfn.XLOOKUP(B190, MasterTable[IRA Custodian], MasterTable[Zip], "")
       )
   )
)</f>
        <v>Empty Row</v>
      </c>
    </row>
    <row r="191" spans="1:10" x14ac:dyDescent="0.25">
      <c r="A191" t="str">
        <f>IF(D191="Empty Row", "Empty Row",
   _xlfn.LET(
       _xlpm.lookupResult, _xlfn.XLOOKUP(D191, RawDataTable[Account Name and Number], RawDataTable[Entity], "RAW DATA MISSING"),
       IF(ISBLANK(_xlpm.lookupResult), "RAW DATA MISSING", _xlpm.lookupResult)
   )
)</f>
        <v>Empty Row</v>
      </c>
      <c r="B191" t="str">
        <f>IF(D191="Empty Row", "Empty Row",
   _xlfn.LET(
       _xlpm.rawDataLookup, _xlfn.XLOOKUP(D191,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91" s="56" t="str" cm="1">
        <f t="array" ref="C191">IF(D191="Empty Row", "Empty Row",
   IF(COUNTIF('Name Mapping'!H:AD, D191) &gt; 0,
      INDEX('Name Mapping'!F:F, MATCH(TRUE, MMULT(--('Name Mapping'!H:AD=D191), TRANSPOSE(COLUMN('Name Mapping'!H:AD)^0)) &gt; 0, 0)),
      "")
)</f>
        <v>Empty Row</v>
      </c>
      <c r="D191" t="str">
        <f>IF(RawDataTable[[#This Row],[Account Name and Number]]&lt;&gt;"", RawDataTable[[#This Row],[Account Name and Number]], "Empty Row")</f>
        <v>Empty Row</v>
      </c>
      <c r="E191" s="28" t="str">
        <f>IF(D191="Empty Row", "Empty Row",
   _xlfn.LET(
       _xlpm.lookupResult, _xlfn.XLOOKUP(D191, RawDataTable[Account Name and Number], RawDataTable[Investment Date], "MISSING VALUE"),
       IF(ISNUMBER(_xlpm.lookupResult), _xlpm.lookupResult, "INVALID VALUE")
   )
)</f>
        <v>Empty Row</v>
      </c>
      <c r="F191" s="29" t="str">
        <f>IF(D191="Empty Row", "Empty Row",
   _xlfn.LET(
       _xlpm.lookupResult, _xlfn.XLOOKUP(D191, RawDataTable[Account Name and Number], RawDataTable[Investment Amount], "MISSING VALUE"),
       IF(ISNUMBER(_xlpm.lookupResult), _xlpm.lookupResult, "INVALID VALUE")
   )
)</f>
        <v>Empty Row</v>
      </c>
      <c r="G191" s="28" t="str">
        <f t="shared" ca="1" si="2"/>
        <v>Empty Row</v>
      </c>
      <c r="H191" s="29" t="str">
        <f>IF(D191="Empty Row", "Empty Row",
   _xlfn.LET(
       _xlpm.lookupResult, _xlfn.XLOOKUP(D191, RawDataTable[Account Name and Number], RawDataTable[Valuation Amount], "MISSING VALUE"),
       IF(ISNUMBER(_xlpm.lookupResult), _xlpm.lookupResult, "INVALID VALUE")
   )
)</f>
        <v>Empty Row</v>
      </c>
      <c r="I191" s="2" t="str">
        <f>IF(D191="Empty Row", "Empty Row", IF(_xlfn.XLOOKUP(B191, MasterTable[IRA Custodian], MasterTable[Address], "")="", "NO STREET NAME FOUND", _xlfn.XLOOKUP(B191, MasterTable[IRA Custodian], MasterTable[Address], "")))</f>
        <v>Empty Row</v>
      </c>
      <c r="J191" s="2" t="str">
        <f>IF(D191="Empty Row", "Empty Row",
   IF(OR(
       _xlfn.XLOOKUP(B191, MasterTable[IRA Custodian], MasterTable[City], "")="",
       _xlfn.XLOOKUP(B191, MasterTable[IRA Custodian], MasterTable[State], "")="",
       _xlfn.XLOOKUP(B191, MasterTable[IRA Custodian], MasterTable[Zip], "")=""),
       "INCOMPLETE ADDRESS",
       _xlfn.CONCAT(
           _xlfn.XLOOKUP(B191, MasterTable[IRA Custodian], MasterTable[City], ""), ", ",
           _xlfn.XLOOKUP(B191, MasterTable[IRA Custodian], MasterTable[State], ""), " ",
           _xlfn.XLOOKUP(B191, MasterTable[IRA Custodian], MasterTable[Zip], "")
       )
   )
)</f>
        <v>Empty Row</v>
      </c>
    </row>
    <row r="192" spans="1:10" x14ac:dyDescent="0.25">
      <c r="A192" t="str">
        <f>IF(D192="Empty Row", "Empty Row",
   _xlfn.LET(
       _xlpm.lookupResult, _xlfn.XLOOKUP(D192, RawDataTable[Account Name and Number], RawDataTable[Entity], "RAW DATA MISSING"),
       IF(ISBLANK(_xlpm.lookupResult), "RAW DATA MISSING", _xlpm.lookupResult)
   )
)</f>
        <v>Empty Row</v>
      </c>
      <c r="B192" t="str">
        <f>IF(D192="Empty Row", "Empty Row",
   _xlfn.LET(
       _xlpm.rawDataLookup, _xlfn.XLOOKUP(D192,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92" s="56" t="str" cm="1">
        <f t="array" ref="C192">IF(D192="Empty Row", "Empty Row",
   IF(COUNTIF('Name Mapping'!H:AD, D192) &gt; 0,
      INDEX('Name Mapping'!F:F, MATCH(TRUE, MMULT(--('Name Mapping'!H:AD=D192), TRANSPOSE(COLUMN('Name Mapping'!H:AD)^0)) &gt; 0, 0)),
      "")
)</f>
        <v>Empty Row</v>
      </c>
      <c r="D192" t="str">
        <f>IF(RawDataTable[[#This Row],[Account Name and Number]]&lt;&gt;"", RawDataTable[[#This Row],[Account Name and Number]], "Empty Row")</f>
        <v>Empty Row</v>
      </c>
      <c r="E192" s="28" t="str">
        <f>IF(D192="Empty Row", "Empty Row",
   _xlfn.LET(
       _xlpm.lookupResult, _xlfn.XLOOKUP(D192, RawDataTable[Account Name and Number], RawDataTable[Investment Date], "MISSING VALUE"),
       IF(ISNUMBER(_xlpm.lookupResult), _xlpm.lookupResult, "INVALID VALUE")
   )
)</f>
        <v>Empty Row</v>
      </c>
      <c r="F192" s="29" t="str">
        <f>IF(D192="Empty Row", "Empty Row",
   _xlfn.LET(
       _xlpm.lookupResult, _xlfn.XLOOKUP(D192, RawDataTable[Account Name and Number], RawDataTable[Investment Amount], "MISSING VALUE"),
       IF(ISNUMBER(_xlpm.lookupResult), _xlpm.lookupResult, "INVALID VALUE")
   )
)</f>
        <v>Empty Row</v>
      </c>
      <c r="G192" s="28" t="str">
        <f t="shared" ca="1" si="2"/>
        <v>Empty Row</v>
      </c>
      <c r="H192" s="29" t="str">
        <f>IF(D192="Empty Row", "Empty Row",
   _xlfn.LET(
       _xlpm.lookupResult, _xlfn.XLOOKUP(D192, RawDataTable[Account Name and Number], RawDataTable[Valuation Amount], "MISSING VALUE"),
       IF(ISNUMBER(_xlpm.lookupResult), _xlpm.lookupResult, "INVALID VALUE")
   )
)</f>
        <v>Empty Row</v>
      </c>
      <c r="I192" s="2" t="str">
        <f>IF(D192="Empty Row", "Empty Row", IF(_xlfn.XLOOKUP(B192, MasterTable[IRA Custodian], MasterTable[Address], "")="", "NO STREET NAME FOUND", _xlfn.XLOOKUP(B192, MasterTable[IRA Custodian], MasterTable[Address], "")))</f>
        <v>Empty Row</v>
      </c>
      <c r="J192" s="2" t="str">
        <f>IF(D192="Empty Row", "Empty Row",
   IF(OR(
       _xlfn.XLOOKUP(B192, MasterTable[IRA Custodian], MasterTable[City], "")="",
       _xlfn.XLOOKUP(B192, MasterTable[IRA Custodian], MasterTable[State], "")="",
       _xlfn.XLOOKUP(B192, MasterTable[IRA Custodian], MasterTable[Zip], "")=""),
       "INCOMPLETE ADDRESS",
       _xlfn.CONCAT(
           _xlfn.XLOOKUP(B192, MasterTable[IRA Custodian], MasterTable[City], ""), ", ",
           _xlfn.XLOOKUP(B192, MasterTable[IRA Custodian], MasterTable[State], ""), " ",
           _xlfn.XLOOKUP(B192, MasterTable[IRA Custodian], MasterTable[Zip], "")
       )
   )
)</f>
        <v>Empty Row</v>
      </c>
    </row>
    <row r="193" spans="1:10" x14ac:dyDescent="0.25">
      <c r="A193" t="str">
        <f>IF(D193="Empty Row", "Empty Row",
   _xlfn.LET(
       _xlpm.lookupResult, _xlfn.XLOOKUP(D193, RawDataTable[Account Name and Number], RawDataTable[Entity], "RAW DATA MISSING"),
       IF(ISBLANK(_xlpm.lookupResult), "RAW DATA MISSING", _xlpm.lookupResult)
   )
)</f>
        <v>Empty Row</v>
      </c>
      <c r="B193" t="str">
        <f>IF(D193="Empty Row", "Empty Row",
   _xlfn.LET(
       _xlpm.rawDataLookup, _xlfn.XLOOKUP(D193,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93" s="56" t="str" cm="1">
        <f t="array" ref="C193">IF(D193="Empty Row", "Empty Row",
   IF(COUNTIF('Name Mapping'!H:AD, D193) &gt; 0,
      INDEX('Name Mapping'!F:F, MATCH(TRUE, MMULT(--('Name Mapping'!H:AD=D193), TRANSPOSE(COLUMN('Name Mapping'!H:AD)^0)) &gt; 0, 0)),
      "")
)</f>
        <v>Empty Row</v>
      </c>
      <c r="D193" t="str">
        <f>IF(RawDataTable[[#This Row],[Account Name and Number]]&lt;&gt;"", RawDataTable[[#This Row],[Account Name and Number]], "Empty Row")</f>
        <v>Empty Row</v>
      </c>
      <c r="E193" s="28" t="str">
        <f>IF(D193="Empty Row", "Empty Row",
   _xlfn.LET(
       _xlpm.lookupResult, _xlfn.XLOOKUP(D193, RawDataTable[Account Name and Number], RawDataTable[Investment Date], "MISSING VALUE"),
       IF(ISNUMBER(_xlpm.lookupResult), _xlpm.lookupResult, "INVALID VALUE")
   )
)</f>
        <v>Empty Row</v>
      </c>
      <c r="F193" s="29" t="str">
        <f>IF(D193="Empty Row", "Empty Row",
   _xlfn.LET(
       _xlpm.lookupResult, _xlfn.XLOOKUP(D193, RawDataTable[Account Name and Number], RawDataTable[Investment Amount], "MISSING VALUE"),
       IF(ISNUMBER(_xlpm.lookupResult), _xlpm.lookupResult, "INVALID VALUE")
   )
)</f>
        <v>Empty Row</v>
      </c>
      <c r="G193" s="28" t="str">
        <f t="shared" ca="1" si="2"/>
        <v>Empty Row</v>
      </c>
      <c r="H193" s="29" t="str">
        <f>IF(D193="Empty Row", "Empty Row",
   _xlfn.LET(
       _xlpm.lookupResult, _xlfn.XLOOKUP(D193, RawDataTable[Account Name and Number], RawDataTable[Valuation Amount], "MISSING VALUE"),
       IF(ISNUMBER(_xlpm.lookupResult), _xlpm.lookupResult, "INVALID VALUE")
   )
)</f>
        <v>Empty Row</v>
      </c>
      <c r="I193" s="2" t="str">
        <f>IF(D193="Empty Row", "Empty Row", IF(_xlfn.XLOOKUP(B193, MasterTable[IRA Custodian], MasterTable[Address], "")="", "NO STREET NAME FOUND", _xlfn.XLOOKUP(B193, MasterTable[IRA Custodian], MasterTable[Address], "")))</f>
        <v>Empty Row</v>
      </c>
      <c r="J193" s="2" t="str">
        <f>IF(D193="Empty Row", "Empty Row",
   IF(OR(
       _xlfn.XLOOKUP(B193, MasterTable[IRA Custodian], MasterTable[City], "")="",
       _xlfn.XLOOKUP(B193, MasterTable[IRA Custodian], MasterTable[State], "")="",
       _xlfn.XLOOKUP(B193, MasterTable[IRA Custodian], MasterTable[Zip], "")=""),
       "INCOMPLETE ADDRESS",
       _xlfn.CONCAT(
           _xlfn.XLOOKUP(B193, MasterTable[IRA Custodian], MasterTable[City], ""), ", ",
           _xlfn.XLOOKUP(B193, MasterTable[IRA Custodian], MasterTable[State], ""), " ",
           _xlfn.XLOOKUP(B193, MasterTable[IRA Custodian], MasterTable[Zip], "")
       )
   )
)</f>
        <v>Empty Row</v>
      </c>
    </row>
    <row r="194" spans="1:10" x14ac:dyDescent="0.25">
      <c r="A194" t="str">
        <f>IF(D194="Empty Row", "Empty Row",
   _xlfn.LET(
       _xlpm.lookupResult, _xlfn.XLOOKUP(D194, RawDataTable[Account Name and Number], RawDataTable[Entity], "RAW DATA MISSING"),
       IF(ISBLANK(_xlpm.lookupResult), "RAW DATA MISSING", _xlpm.lookupResult)
   )
)</f>
        <v>Empty Row</v>
      </c>
      <c r="B194" t="str">
        <f>IF(D194="Empty Row", "Empty Row",
   _xlfn.LET(
       _xlpm.rawDataLookup, _xlfn.XLOOKUP(D194,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94" s="56" t="str" cm="1">
        <f t="array" ref="C194">IF(D194="Empty Row", "Empty Row",
   IF(COUNTIF('Name Mapping'!H:AD, D194) &gt; 0,
      INDEX('Name Mapping'!F:F, MATCH(TRUE, MMULT(--('Name Mapping'!H:AD=D194), TRANSPOSE(COLUMN('Name Mapping'!H:AD)^0)) &gt; 0, 0)),
      "")
)</f>
        <v>Empty Row</v>
      </c>
      <c r="D194" t="str">
        <f>IF(RawDataTable[[#This Row],[Account Name and Number]]&lt;&gt;"", RawDataTable[[#This Row],[Account Name and Number]], "Empty Row")</f>
        <v>Empty Row</v>
      </c>
      <c r="E194" s="28" t="str">
        <f>IF(D194="Empty Row", "Empty Row",
   _xlfn.LET(
       _xlpm.lookupResult, _xlfn.XLOOKUP(D194, RawDataTable[Account Name and Number], RawDataTable[Investment Date], "MISSING VALUE"),
       IF(ISNUMBER(_xlpm.lookupResult), _xlpm.lookupResult, "INVALID VALUE")
   )
)</f>
        <v>Empty Row</v>
      </c>
      <c r="F194" s="29" t="str">
        <f>IF(D194="Empty Row", "Empty Row",
   _xlfn.LET(
       _xlpm.lookupResult, _xlfn.XLOOKUP(D194, RawDataTable[Account Name and Number], RawDataTable[Investment Amount], "MISSING VALUE"),
       IF(ISNUMBER(_xlpm.lookupResult), _xlpm.lookupResult, "INVALID VALUE")
   )
)</f>
        <v>Empty Row</v>
      </c>
      <c r="G194" s="28" t="str">
        <f t="shared" ca="1" si="2"/>
        <v>Empty Row</v>
      </c>
      <c r="H194" s="29" t="str">
        <f>IF(D194="Empty Row", "Empty Row",
   _xlfn.LET(
       _xlpm.lookupResult, _xlfn.XLOOKUP(D194, RawDataTable[Account Name and Number], RawDataTable[Valuation Amount], "MISSING VALUE"),
       IF(ISNUMBER(_xlpm.lookupResult), _xlpm.lookupResult, "INVALID VALUE")
   )
)</f>
        <v>Empty Row</v>
      </c>
      <c r="I194" s="2" t="str">
        <f>IF(D194="Empty Row", "Empty Row", IF(_xlfn.XLOOKUP(B194, MasterTable[IRA Custodian], MasterTable[Address], "")="", "NO STREET NAME FOUND", _xlfn.XLOOKUP(B194, MasterTable[IRA Custodian], MasterTable[Address], "")))</f>
        <v>Empty Row</v>
      </c>
      <c r="J194" s="2" t="str">
        <f>IF(D194="Empty Row", "Empty Row",
   IF(OR(
       _xlfn.XLOOKUP(B194, MasterTable[IRA Custodian], MasterTable[City], "")="",
       _xlfn.XLOOKUP(B194, MasterTable[IRA Custodian], MasterTable[State], "")="",
       _xlfn.XLOOKUP(B194, MasterTable[IRA Custodian], MasterTable[Zip], "")=""),
       "INCOMPLETE ADDRESS",
       _xlfn.CONCAT(
           _xlfn.XLOOKUP(B194, MasterTable[IRA Custodian], MasterTable[City], ""), ", ",
           _xlfn.XLOOKUP(B194, MasterTable[IRA Custodian], MasterTable[State], ""), " ",
           _xlfn.XLOOKUP(B194, MasterTable[IRA Custodian], MasterTable[Zip], "")
       )
   )
)</f>
        <v>Empty Row</v>
      </c>
    </row>
    <row r="195" spans="1:10" x14ac:dyDescent="0.25">
      <c r="A195" t="str">
        <f>IF(D195="Empty Row", "Empty Row",
   _xlfn.LET(
       _xlpm.lookupResult, _xlfn.XLOOKUP(D195, RawDataTable[Account Name and Number], RawDataTable[Entity], "RAW DATA MISSING"),
       IF(ISBLANK(_xlpm.lookupResult), "RAW DATA MISSING", _xlpm.lookupResult)
   )
)</f>
        <v>Empty Row</v>
      </c>
      <c r="B195" t="str">
        <f>IF(D195="Empty Row", "Empty Row",
   _xlfn.LET(
       _xlpm.rawDataLookup, _xlfn.XLOOKUP(D195,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95" s="56" t="str" cm="1">
        <f t="array" ref="C195">IF(D195="Empty Row", "Empty Row",
   IF(COUNTIF('Name Mapping'!H:AD, D195) &gt; 0,
      INDEX('Name Mapping'!F:F, MATCH(TRUE, MMULT(--('Name Mapping'!H:AD=D195), TRANSPOSE(COLUMN('Name Mapping'!H:AD)^0)) &gt; 0, 0)),
      "")
)</f>
        <v>Empty Row</v>
      </c>
      <c r="D195" t="str">
        <f>IF(RawDataTable[[#This Row],[Account Name and Number]]&lt;&gt;"", RawDataTable[[#This Row],[Account Name and Number]], "Empty Row")</f>
        <v>Empty Row</v>
      </c>
      <c r="E195" s="28" t="str">
        <f>IF(D195="Empty Row", "Empty Row",
   _xlfn.LET(
       _xlpm.lookupResult, _xlfn.XLOOKUP(D195, RawDataTable[Account Name and Number], RawDataTable[Investment Date], "MISSING VALUE"),
       IF(ISNUMBER(_xlpm.lookupResult), _xlpm.lookupResult, "INVALID VALUE")
   )
)</f>
        <v>Empty Row</v>
      </c>
      <c r="F195" s="29" t="str">
        <f>IF(D195="Empty Row", "Empty Row",
   _xlfn.LET(
       _xlpm.lookupResult, _xlfn.XLOOKUP(D195, RawDataTable[Account Name and Number], RawDataTable[Investment Amount], "MISSING VALUE"),
       IF(ISNUMBER(_xlpm.lookupResult), _xlpm.lookupResult, "INVALID VALUE")
   )
)</f>
        <v>Empty Row</v>
      </c>
      <c r="G195" s="28" t="str">
        <f t="shared" ref="G195:G258" ca="1" si="3">IF(D195="Empty Row", "Empty Row",
   IF(ISNUMBER(TODAY()), TODAY(), "INVALID VALUE")
)</f>
        <v>Empty Row</v>
      </c>
      <c r="H195" s="29" t="str">
        <f>IF(D195="Empty Row", "Empty Row",
   _xlfn.LET(
       _xlpm.lookupResult, _xlfn.XLOOKUP(D195, RawDataTable[Account Name and Number], RawDataTable[Valuation Amount], "MISSING VALUE"),
       IF(ISNUMBER(_xlpm.lookupResult), _xlpm.lookupResult, "INVALID VALUE")
   )
)</f>
        <v>Empty Row</v>
      </c>
      <c r="I195" s="2" t="str">
        <f>IF(D195="Empty Row", "Empty Row", IF(_xlfn.XLOOKUP(B195, MasterTable[IRA Custodian], MasterTable[Address], "")="", "NO STREET NAME FOUND", _xlfn.XLOOKUP(B195, MasterTable[IRA Custodian], MasterTable[Address], "")))</f>
        <v>Empty Row</v>
      </c>
      <c r="J195" s="2" t="str">
        <f>IF(D195="Empty Row", "Empty Row",
   IF(OR(
       _xlfn.XLOOKUP(B195, MasterTable[IRA Custodian], MasterTable[City], "")="",
       _xlfn.XLOOKUP(B195, MasterTable[IRA Custodian], MasterTable[State], "")="",
       _xlfn.XLOOKUP(B195, MasterTable[IRA Custodian], MasterTable[Zip], "")=""),
       "INCOMPLETE ADDRESS",
       _xlfn.CONCAT(
           _xlfn.XLOOKUP(B195, MasterTable[IRA Custodian], MasterTable[City], ""), ", ",
           _xlfn.XLOOKUP(B195, MasterTable[IRA Custodian], MasterTable[State], ""), " ",
           _xlfn.XLOOKUP(B195, MasterTable[IRA Custodian], MasterTable[Zip], "")
       )
   )
)</f>
        <v>Empty Row</v>
      </c>
    </row>
    <row r="196" spans="1:10" x14ac:dyDescent="0.25">
      <c r="A196" t="str">
        <f>IF(D196="Empty Row", "Empty Row",
   _xlfn.LET(
       _xlpm.lookupResult, _xlfn.XLOOKUP(D196, RawDataTable[Account Name and Number], RawDataTable[Entity], "RAW DATA MISSING"),
       IF(ISBLANK(_xlpm.lookupResult), "RAW DATA MISSING", _xlpm.lookupResult)
   )
)</f>
        <v>Empty Row</v>
      </c>
      <c r="B196" t="str">
        <f>IF(D196="Empty Row", "Empty Row",
   _xlfn.LET(
       _xlpm.rawDataLookup, _xlfn.XLOOKUP(D196,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96" s="56" t="str" cm="1">
        <f t="array" ref="C196">IF(D196="Empty Row", "Empty Row",
   IF(COUNTIF('Name Mapping'!H:AD, D196) &gt; 0,
      INDEX('Name Mapping'!F:F, MATCH(TRUE, MMULT(--('Name Mapping'!H:AD=D196), TRANSPOSE(COLUMN('Name Mapping'!H:AD)^0)) &gt; 0, 0)),
      "")
)</f>
        <v>Empty Row</v>
      </c>
      <c r="D196" t="str">
        <f>IF(RawDataTable[[#This Row],[Account Name and Number]]&lt;&gt;"", RawDataTable[[#This Row],[Account Name and Number]], "Empty Row")</f>
        <v>Empty Row</v>
      </c>
      <c r="E196" s="28" t="str">
        <f>IF(D196="Empty Row", "Empty Row",
   _xlfn.LET(
       _xlpm.lookupResult, _xlfn.XLOOKUP(D196, RawDataTable[Account Name and Number], RawDataTable[Investment Date], "MISSING VALUE"),
       IF(ISNUMBER(_xlpm.lookupResult), _xlpm.lookupResult, "INVALID VALUE")
   )
)</f>
        <v>Empty Row</v>
      </c>
      <c r="F196" s="29" t="str">
        <f>IF(D196="Empty Row", "Empty Row",
   _xlfn.LET(
       _xlpm.lookupResult, _xlfn.XLOOKUP(D196, RawDataTable[Account Name and Number], RawDataTable[Investment Amount], "MISSING VALUE"),
       IF(ISNUMBER(_xlpm.lookupResult), _xlpm.lookupResult, "INVALID VALUE")
   )
)</f>
        <v>Empty Row</v>
      </c>
      <c r="G196" s="28" t="str">
        <f t="shared" ca="1" si="3"/>
        <v>Empty Row</v>
      </c>
      <c r="H196" s="29" t="str">
        <f>IF(D196="Empty Row", "Empty Row",
   _xlfn.LET(
       _xlpm.lookupResult, _xlfn.XLOOKUP(D196, RawDataTable[Account Name and Number], RawDataTable[Valuation Amount], "MISSING VALUE"),
       IF(ISNUMBER(_xlpm.lookupResult), _xlpm.lookupResult, "INVALID VALUE")
   )
)</f>
        <v>Empty Row</v>
      </c>
      <c r="I196" s="2" t="str">
        <f>IF(D196="Empty Row", "Empty Row", IF(_xlfn.XLOOKUP(B196, MasterTable[IRA Custodian], MasterTable[Address], "")="", "NO STREET NAME FOUND", _xlfn.XLOOKUP(B196, MasterTable[IRA Custodian], MasterTable[Address], "")))</f>
        <v>Empty Row</v>
      </c>
      <c r="J196" s="2" t="str">
        <f>IF(D196="Empty Row", "Empty Row",
   IF(OR(
       _xlfn.XLOOKUP(B196, MasterTable[IRA Custodian], MasterTable[City], "")="",
       _xlfn.XLOOKUP(B196, MasterTable[IRA Custodian], MasterTable[State], "")="",
       _xlfn.XLOOKUP(B196, MasterTable[IRA Custodian], MasterTable[Zip], "")=""),
       "INCOMPLETE ADDRESS",
       _xlfn.CONCAT(
           _xlfn.XLOOKUP(B196, MasterTable[IRA Custodian], MasterTable[City], ""), ", ",
           _xlfn.XLOOKUP(B196, MasterTable[IRA Custodian], MasterTable[State], ""), " ",
           _xlfn.XLOOKUP(B196, MasterTable[IRA Custodian], MasterTable[Zip], "")
       )
   )
)</f>
        <v>Empty Row</v>
      </c>
    </row>
    <row r="197" spans="1:10" x14ac:dyDescent="0.25">
      <c r="A197" t="str">
        <f>IF(D197="Empty Row", "Empty Row",
   _xlfn.LET(
       _xlpm.lookupResult, _xlfn.XLOOKUP(D197, RawDataTable[Account Name and Number], RawDataTable[Entity], "RAW DATA MISSING"),
       IF(ISBLANK(_xlpm.lookupResult), "RAW DATA MISSING", _xlpm.lookupResult)
   )
)</f>
        <v>Empty Row</v>
      </c>
      <c r="B197" t="str">
        <f>IF(D197="Empty Row", "Empty Row",
   _xlfn.LET(
       _xlpm.rawDataLookup, _xlfn.XLOOKUP(D197,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97" s="56" t="str" cm="1">
        <f t="array" ref="C197">IF(D197="Empty Row", "Empty Row",
   IF(COUNTIF('Name Mapping'!H:AD, D197) &gt; 0,
      INDEX('Name Mapping'!F:F, MATCH(TRUE, MMULT(--('Name Mapping'!H:AD=D197), TRANSPOSE(COLUMN('Name Mapping'!H:AD)^0)) &gt; 0, 0)),
      "")
)</f>
        <v>Empty Row</v>
      </c>
      <c r="D197" t="str">
        <f>IF(RawDataTable[[#This Row],[Account Name and Number]]&lt;&gt;"", RawDataTable[[#This Row],[Account Name and Number]], "Empty Row")</f>
        <v>Empty Row</v>
      </c>
      <c r="E197" s="28" t="str">
        <f>IF(D197="Empty Row", "Empty Row",
   _xlfn.LET(
       _xlpm.lookupResult, _xlfn.XLOOKUP(D197, RawDataTable[Account Name and Number], RawDataTable[Investment Date], "MISSING VALUE"),
       IF(ISNUMBER(_xlpm.lookupResult), _xlpm.lookupResult, "INVALID VALUE")
   )
)</f>
        <v>Empty Row</v>
      </c>
      <c r="F197" s="29" t="str">
        <f>IF(D197="Empty Row", "Empty Row",
   _xlfn.LET(
       _xlpm.lookupResult, _xlfn.XLOOKUP(D197, RawDataTable[Account Name and Number], RawDataTable[Investment Amount], "MISSING VALUE"),
       IF(ISNUMBER(_xlpm.lookupResult), _xlpm.lookupResult, "INVALID VALUE")
   )
)</f>
        <v>Empty Row</v>
      </c>
      <c r="G197" s="28" t="str">
        <f t="shared" ca="1" si="3"/>
        <v>Empty Row</v>
      </c>
      <c r="H197" s="29" t="str">
        <f>IF(D197="Empty Row", "Empty Row",
   _xlfn.LET(
       _xlpm.lookupResult, _xlfn.XLOOKUP(D197, RawDataTable[Account Name and Number], RawDataTable[Valuation Amount], "MISSING VALUE"),
       IF(ISNUMBER(_xlpm.lookupResult), _xlpm.lookupResult, "INVALID VALUE")
   )
)</f>
        <v>Empty Row</v>
      </c>
      <c r="I197" s="2" t="str">
        <f>IF(D197="Empty Row", "Empty Row", IF(_xlfn.XLOOKUP(B197, MasterTable[IRA Custodian], MasterTable[Address], "")="", "NO STREET NAME FOUND", _xlfn.XLOOKUP(B197, MasterTable[IRA Custodian], MasterTable[Address], "")))</f>
        <v>Empty Row</v>
      </c>
      <c r="J197" s="2" t="str">
        <f>IF(D197="Empty Row", "Empty Row",
   IF(OR(
       _xlfn.XLOOKUP(B197, MasterTable[IRA Custodian], MasterTable[City], "")="",
       _xlfn.XLOOKUP(B197, MasterTable[IRA Custodian], MasterTable[State], "")="",
       _xlfn.XLOOKUP(B197, MasterTable[IRA Custodian], MasterTable[Zip], "")=""),
       "INCOMPLETE ADDRESS",
       _xlfn.CONCAT(
           _xlfn.XLOOKUP(B197, MasterTable[IRA Custodian], MasterTable[City], ""), ", ",
           _xlfn.XLOOKUP(B197, MasterTable[IRA Custodian], MasterTable[State], ""), " ",
           _xlfn.XLOOKUP(B197, MasterTable[IRA Custodian], MasterTable[Zip], "")
       )
   )
)</f>
        <v>Empty Row</v>
      </c>
    </row>
    <row r="198" spans="1:10" x14ac:dyDescent="0.25">
      <c r="A198" t="str">
        <f>IF(D198="Empty Row", "Empty Row",
   _xlfn.LET(
       _xlpm.lookupResult, _xlfn.XLOOKUP(D198, RawDataTable[Account Name and Number], RawDataTable[Entity], "RAW DATA MISSING"),
       IF(ISBLANK(_xlpm.lookupResult), "RAW DATA MISSING", _xlpm.lookupResult)
   )
)</f>
        <v>Empty Row</v>
      </c>
      <c r="B198" t="str">
        <f>IF(D198="Empty Row", "Empty Row",
   _xlfn.LET(
       _xlpm.rawDataLookup, _xlfn.XLOOKUP(D198,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98" s="56" t="str" cm="1">
        <f t="array" ref="C198">IF(D198="Empty Row", "Empty Row",
   IF(COUNTIF('Name Mapping'!H:AD, D198) &gt; 0,
      INDEX('Name Mapping'!F:F, MATCH(TRUE, MMULT(--('Name Mapping'!H:AD=D198), TRANSPOSE(COLUMN('Name Mapping'!H:AD)^0)) &gt; 0, 0)),
      "")
)</f>
        <v>Empty Row</v>
      </c>
      <c r="D198" t="str">
        <f>IF(RawDataTable[[#This Row],[Account Name and Number]]&lt;&gt;"", RawDataTable[[#This Row],[Account Name and Number]], "Empty Row")</f>
        <v>Empty Row</v>
      </c>
      <c r="E198" s="28" t="str">
        <f>IF(D198="Empty Row", "Empty Row",
   _xlfn.LET(
       _xlpm.lookupResult, _xlfn.XLOOKUP(D198, RawDataTable[Account Name and Number], RawDataTable[Investment Date], "MISSING VALUE"),
       IF(ISNUMBER(_xlpm.lookupResult), _xlpm.lookupResult, "INVALID VALUE")
   )
)</f>
        <v>Empty Row</v>
      </c>
      <c r="F198" s="29" t="str">
        <f>IF(D198="Empty Row", "Empty Row",
   _xlfn.LET(
       _xlpm.lookupResult, _xlfn.XLOOKUP(D198, RawDataTable[Account Name and Number], RawDataTable[Investment Amount], "MISSING VALUE"),
       IF(ISNUMBER(_xlpm.lookupResult), _xlpm.lookupResult, "INVALID VALUE")
   )
)</f>
        <v>Empty Row</v>
      </c>
      <c r="G198" s="28" t="str">
        <f t="shared" ca="1" si="3"/>
        <v>Empty Row</v>
      </c>
      <c r="H198" s="29" t="str">
        <f>IF(D198="Empty Row", "Empty Row",
   _xlfn.LET(
       _xlpm.lookupResult, _xlfn.XLOOKUP(D198, RawDataTable[Account Name and Number], RawDataTable[Valuation Amount], "MISSING VALUE"),
       IF(ISNUMBER(_xlpm.lookupResult), _xlpm.lookupResult, "INVALID VALUE")
   )
)</f>
        <v>Empty Row</v>
      </c>
      <c r="I198" s="2" t="str">
        <f>IF(D198="Empty Row", "Empty Row", IF(_xlfn.XLOOKUP(B198, MasterTable[IRA Custodian], MasterTable[Address], "")="", "NO STREET NAME FOUND", _xlfn.XLOOKUP(B198, MasterTable[IRA Custodian], MasterTable[Address], "")))</f>
        <v>Empty Row</v>
      </c>
      <c r="J198" s="2" t="str">
        <f>IF(D198="Empty Row", "Empty Row",
   IF(OR(
       _xlfn.XLOOKUP(B198, MasterTable[IRA Custodian], MasterTable[City], "")="",
       _xlfn.XLOOKUP(B198, MasterTable[IRA Custodian], MasterTable[State], "")="",
       _xlfn.XLOOKUP(B198, MasterTable[IRA Custodian], MasterTable[Zip], "")=""),
       "INCOMPLETE ADDRESS",
       _xlfn.CONCAT(
           _xlfn.XLOOKUP(B198, MasterTable[IRA Custodian], MasterTable[City], ""), ", ",
           _xlfn.XLOOKUP(B198, MasterTable[IRA Custodian], MasterTable[State], ""), " ",
           _xlfn.XLOOKUP(B198, MasterTable[IRA Custodian], MasterTable[Zip], "")
       )
   )
)</f>
        <v>Empty Row</v>
      </c>
    </row>
    <row r="199" spans="1:10" x14ac:dyDescent="0.25">
      <c r="A199" t="str">
        <f>IF(D199="Empty Row", "Empty Row",
   _xlfn.LET(
       _xlpm.lookupResult, _xlfn.XLOOKUP(D199, RawDataTable[Account Name and Number], RawDataTable[Entity], "RAW DATA MISSING"),
       IF(ISBLANK(_xlpm.lookupResult), "RAW DATA MISSING", _xlpm.lookupResult)
   )
)</f>
        <v>Empty Row</v>
      </c>
      <c r="B199" t="str">
        <f>IF(D199="Empty Row", "Empty Row",
   _xlfn.LET(
       _xlpm.rawDataLookup, _xlfn.XLOOKUP(D199,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199" s="56" t="str" cm="1">
        <f t="array" ref="C199">IF(D199="Empty Row", "Empty Row",
   IF(COUNTIF('Name Mapping'!H:AD, D199) &gt; 0,
      INDEX('Name Mapping'!F:F, MATCH(TRUE, MMULT(--('Name Mapping'!H:AD=D199), TRANSPOSE(COLUMN('Name Mapping'!H:AD)^0)) &gt; 0, 0)),
      "")
)</f>
        <v>Empty Row</v>
      </c>
      <c r="D199" t="str">
        <f>IF(RawDataTable[[#This Row],[Account Name and Number]]&lt;&gt;"", RawDataTable[[#This Row],[Account Name and Number]], "Empty Row")</f>
        <v>Empty Row</v>
      </c>
      <c r="E199" s="28" t="str">
        <f>IF(D199="Empty Row", "Empty Row",
   _xlfn.LET(
       _xlpm.lookupResult, _xlfn.XLOOKUP(D199, RawDataTable[Account Name and Number], RawDataTable[Investment Date], "MISSING VALUE"),
       IF(ISNUMBER(_xlpm.lookupResult), _xlpm.lookupResult, "INVALID VALUE")
   )
)</f>
        <v>Empty Row</v>
      </c>
      <c r="F199" s="29" t="str">
        <f>IF(D199="Empty Row", "Empty Row",
   _xlfn.LET(
       _xlpm.lookupResult, _xlfn.XLOOKUP(D199, RawDataTable[Account Name and Number], RawDataTable[Investment Amount], "MISSING VALUE"),
       IF(ISNUMBER(_xlpm.lookupResult), _xlpm.lookupResult, "INVALID VALUE")
   )
)</f>
        <v>Empty Row</v>
      </c>
      <c r="G199" s="28" t="str">
        <f t="shared" ca="1" si="3"/>
        <v>Empty Row</v>
      </c>
      <c r="H199" s="29" t="str">
        <f>IF(D199="Empty Row", "Empty Row",
   _xlfn.LET(
       _xlpm.lookupResult, _xlfn.XLOOKUP(D199, RawDataTable[Account Name and Number], RawDataTable[Valuation Amount], "MISSING VALUE"),
       IF(ISNUMBER(_xlpm.lookupResult), _xlpm.lookupResult, "INVALID VALUE")
   )
)</f>
        <v>Empty Row</v>
      </c>
      <c r="I199" s="2" t="str">
        <f>IF(D199="Empty Row", "Empty Row", IF(_xlfn.XLOOKUP(B199, MasterTable[IRA Custodian], MasterTable[Address], "")="", "NO STREET NAME FOUND", _xlfn.XLOOKUP(B199, MasterTable[IRA Custodian], MasterTable[Address], "")))</f>
        <v>Empty Row</v>
      </c>
      <c r="J199" s="2" t="str">
        <f>IF(D199="Empty Row", "Empty Row",
   IF(OR(
       _xlfn.XLOOKUP(B199, MasterTable[IRA Custodian], MasterTable[City], "")="",
       _xlfn.XLOOKUP(B199, MasterTable[IRA Custodian], MasterTable[State], "")="",
       _xlfn.XLOOKUP(B199, MasterTable[IRA Custodian], MasterTable[Zip], "")=""),
       "INCOMPLETE ADDRESS",
       _xlfn.CONCAT(
           _xlfn.XLOOKUP(B199, MasterTable[IRA Custodian], MasterTable[City], ""), ", ",
           _xlfn.XLOOKUP(B199, MasterTable[IRA Custodian], MasterTable[State], ""), " ",
           _xlfn.XLOOKUP(B199, MasterTable[IRA Custodian], MasterTable[Zip], "")
       )
   )
)</f>
        <v>Empty Row</v>
      </c>
    </row>
    <row r="200" spans="1:10" x14ac:dyDescent="0.25">
      <c r="A200" t="str">
        <f>IF(D200="Empty Row", "Empty Row",
   _xlfn.LET(
       _xlpm.lookupResult, _xlfn.XLOOKUP(D200, RawDataTable[Account Name and Number], RawDataTable[Entity], "RAW DATA MISSING"),
       IF(ISBLANK(_xlpm.lookupResult), "RAW DATA MISSING", _xlpm.lookupResult)
   )
)</f>
        <v>Empty Row</v>
      </c>
      <c r="B200" t="str">
        <f>IF(D200="Empty Row", "Empty Row",
   _xlfn.LET(
       _xlpm.rawDataLookup, _xlfn.XLOOKUP(D200,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00" s="56" t="str" cm="1">
        <f t="array" ref="C200">IF(D200="Empty Row", "Empty Row",
   IF(COUNTIF('Name Mapping'!H:AD, D200) &gt; 0,
      INDEX('Name Mapping'!F:F, MATCH(TRUE, MMULT(--('Name Mapping'!H:AD=D200), TRANSPOSE(COLUMN('Name Mapping'!H:AD)^0)) &gt; 0, 0)),
      "")
)</f>
        <v>Empty Row</v>
      </c>
      <c r="D200" t="str">
        <f>IF(RawDataTable[[#This Row],[Account Name and Number]]&lt;&gt;"", RawDataTable[[#This Row],[Account Name and Number]], "Empty Row")</f>
        <v>Empty Row</v>
      </c>
      <c r="E200" s="28" t="str">
        <f>IF(D200="Empty Row", "Empty Row",
   _xlfn.LET(
       _xlpm.lookupResult, _xlfn.XLOOKUP(D200, RawDataTable[Account Name and Number], RawDataTable[Investment Date], "MISSING VALUE"),
       IF(ISNUMBER(_xlpm.lookupResult), _xlpm.lookupResult, "INVALID VALUE")
   )
)</f>
        <v>Empty Row</v>
      </c>
      <c r="F200" s="29" t="str">
        <f>IF(D200="Empty Row", "Empty Row",
   _xlfn.LET(
       _xlpm.lookupResult, _xlfn.XLOOKUP(D200, RawDataTable[Account Name and Number], RawDataTable[Investment Amount], "MISSING VALUE"),
       IF(ISNUMBER(_xlpm.lookupResult), _xlpm.lookupResult, "INVALID VALUE")
   )
)</f>
        <v>Empty Row</v>
      </c>
      <c r="G200" s="28" t="str">
        <f t="shared" ca="1" si="3"/>
        <v>Empty Row</v>
      </c>
      <c r="H200" s="29" t="str">
        <f>IF(D200="Empty Row", "Empty Row",
   _xlfn.LET(
       _xlpm.lookupResult, _xlfn.XLOOKUP(D200, RawDataTable[Account Name and Number], RawDataTable[Valuation Amount], "MISSING VALUE"),
       IF(ISNUMBER(_xlpm.lookupResult), _xlpm.lookupResult, "INVALID VALUE")
   )
)</f>
        <v>Empty Row</v>
      </c>
      <c r="I200" s="2" t="str">
        <f>IF(D200="Empty Row", "Empty Row", IF(_xlfn.XLOOKUP(B200, MasterTable[IRA Custodian], MasterTable[Address], "")="", "NO STREET NAME FOUND", _xlfn.XLOOKUP(B200, MasterTable[IRA Custodian], MasterTable[Address], "")))</f>
        <v>Empty Row</v>
      </c>
      <c r="J200" s="2" t="str">
        <f>IF(D200="Empty Row", "Empty Row",
   IF(OR(
       _xlfn.XLOOKUP(B200, MasterTable[IRA Custodian], MasterTable[City], "")="",
       _xlfn.XLOOKUP(B200, MasterTable[IRA Custodian], MasterTable[State], "")="",
       _xlfn.XLOOKUP(B200, MasterTable[IRA Custodian], MasterTable[Zip], "")=""),
       "INCOMPLETE ADDRESS",
       _xlfn.CONCAT(
           _xlfn.XLOOKUP(B200, MasterTable[IRA Custodian], MasterTable[City], ""), ", ",
           _xlfn.XLOOKUP(B200, MasterTable[IRA Custodian], MasterTable[State], ""), " ",
           _xlfn.XLOOKUP(B200, MasterTable[IRA Custodian], MasterTable[Zip], "")
       )
   )
)</f>
        <v>Empty Row</v>
      </c>
    </row>
    <row r="201" spans="1:10" x14ac:dyDescent="0.25">
      <c r="A201" t="str">
        <f>IF(D201="Empty Row", "Empty Row",
   _xlfn.LET(
       _xlpm.lookupResult, _xlfn.XLOOKUP(D201, RawDataTable[Account Name and Number], RawDataTable[Entity], "RAW DATA MISSING"),
       IF(ISBLANK(_xlpm.lookupResult), "RAW DATA MISSING", _xlpm.lookupResult)
   )
)</f>
        <v>Empty Row</v>
      </c>
      <c r="B201" t="str">
        <f>IF(D201="Empty Row", "Empty Row",
   _xlfn.LET(
       _xlpm.rawDataLookup, _xlfn.XLOOKUP(D201,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01" s="56" t="str" cm="1">
        <f t="array" ref="C201">IF(D201="Empty Row", "Empty Row",
   IF(COUNTIF('Name Mapping'!H:AD, D201) &gt; 0,
      INDEX('Name Mapping'!F:F, MATCH(TRUE, MMULT(--('Name Mapping'!H:AD=D201), TRANSPOSE(COLUMN('Name Mapping'!H:AD)^0)) &gt; 0, 0)),
      "")
)</f>
        <v>Empty Row</v>
      </c>
      <c r="D201" t="str">
        <f>IF(RawDataTable[[#This Row],[Account Name and Number]]&lt;&gt;"", RawDataTable[[#This Row],[Account Name and Number]], "Empty Row")</f>
        <v>Empty Row</v>
      </c>
      <c r="E201" s="28" t="str">
        <f>IF(D201="Empty Row", "Empty Row",
   _xlfn.LET(
       _xlpm.lookupResult, _xlfn.XLOOKUP(D201, RawDataTable[Account Name and Number], RawDataTable[Investment Date], "MISSING VALUE"),
       IF(ISNUMBER(_xlpm.lookupResult), _xlpm.lookupResult, "INVALID VALUE")
   )
)</f>
        <v>Empty Row</v>
      </c>
      <c r="F201" s="29" t="str">
        <f>IF(D201="Empty Row", "Empty Row",
   _xlfn.LET(
       _xlpm.lookupResult, _xlfn.XLOOKUP(D201, RawDataTable[Account Name and Number], RawDataTable[Investment Amount], "MISSING VALUE"),
       IF(ISNUMBER(_xlpm.lookupResult), _xlpm.lookupResult, "INVALID VALUE")
   )
)</f>
        <v>Empty Row</v>
      </c>
      <c r="G201" s="28" t="str">
        <f t="shared" ca="1" si="3"/>
        <v>Empty Row</v>
      </c>
      <c r="H201" s="29" t="str">
        <f>IF(D201="Empty Row", "Empty Row",
   _xlfn.LET(
       _xlpm.lookupResult, _xlfn.XLOOKUP(D201, RawDataTable[Account Name and Number], RawDataTable[Valuation Amount], "MISSING VALUE"),
       IF(ISNUMBER(_xlpm.lookupResult), _xlpm.lookupResult, "INVALID VALUE")
   )
)</f>
        <v>Empty Row</v>
      </c>
      <c r="I201" s="2" t="str">
        <f>IF(D201="Empty Row", "Empty Row", IF(_xlfn.XLOOKUP(B201, MasterTable[IRA Custodian], MasterTable[Address], "")="", "NO STREET NAME FOUND", _xlfn.XLOOKUP(B201, MasterTable[IRA Custodian], MasterTable[Address], "")))</f>
        <v>Empty Row</v>
      </c>
      <c r="J201" s="2" t="str">
        <f>IF(D201="Empty Row", "Empty Row",
   IF(OR(
       _xlfn.XLOOKUP(B201, MasterTable[IRA Custodian], MasterTable[City], "")="",
       _xlfn.XLOOKUP(B201, MasterTable[IRA Custodian], MasterTable[State], "")="",
       _xlfn.XLOOKUP(B201, MasterTable[IRA Custodian], MasterTable[Zip], "")=""),
       "INCOMPLETE ADDRESS",
       _xlfn.CONCAT(
           _xlfn.XLOOKUP(B201, MasterTable[IRA Custodian], MasterTable[City], ""), ", ",
           _xlfn.XLOOKUP(B201, MasterTable[IRA Custodian], MasterTable[State], ""), " ",
           _xlfn.XLOOKUP(B201, MasterTable[IRA Custodian], MasterTable[Zip], "")
       )
   )
)</f>
        <v>Empty Row</v>
      </c>
    </row>
    <row r="202" spans="1:10" x14ac:dyDescent="0.25">
      <c r="A202" t="str">
        <f>IF(D202="Empty Row", "Empty Row",
   _xlfn.LET(
       _xlpm.lookupResult, _xlfn.XLOOKUP(D202, RawDataTable[Account Name and Number], RawDataTable[Entity], "RAW DATA MISSING"),
       IF(ISBLANK(_xlpm.lookupResult), "RAW DATA MISSING", _xlpm.lookupResult)
   )
)</f>
        <v>Empty Row</v>
      </c>
      <c r="B202" t="str">
        <f>IF(D202="Empty Row", "Empty Row",
   _xlfn.LET(
       _xlpm.rawDataLookup, _xlfn.XLOOKUP(D202,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02" s="56" t="str" cm="1">
        <f t="array" ref="C202">IF(D202="Empty Row", "Empty Row",
   IF(COUNTIF('Name Mapping'!H:AD, D202) &gt; 0,
      INDEX('Name Mapping'!F:F, MATCH(TRUE, MMULT(--('Name Mapping'!H:AD=D202), TRANSPOSE(COLUMN('Name Mapping'!H:AD)^0)) &gt; 0, 0)),
      "")
)</f>
        <v>Empty Row</v>
      </c>
      <c r="D202" t="str">
        <f>IF(RawDataTable[[#This Row],[Account Name and Number]]&lt;&gt;"", RawDataTable[[#This Row],[Account Name and Number]], "Empty Row")</f>
        <v>Empty Row</v>
      </c>
      <c r="E202" s="28" t="str">
        <f>IF(D202="Empty Row", "Empty Row",
   _xlfn.LET(
       _xlpm.lookupResult, _xlfn.XLOOKUP(D202, RawDataTable[Account Name and Number], RawDataTable[Investment Date], "MISSING VALUE"),
       IF(ISNUMBER(_xlpm.lookupResult), _xlpm.lookupResult, "INVALID VALUE")
   )
)</f>
        <v>Empty Row</v>
      </c>
      <c r="F202" s="29" t="str">
        <f>IF(D202="Empty Row", "Empty Row",
   _xlfn.LET(
       _xlpm.lookupResult, _xlfn.XLOOKUP(D202, RawDataTable[Account Name and Number], RawDataTable[Investment Amount], "MISSING VALUE"),
       IF(ISNUMBER(_xlpm.lookupResult), _xlpm.lookupResult, "INVALID VALUE")
   )
)</f>
        <v>Empty Row</v>
      </c>
      <c r="G202" s="28" t="str">
        <f t="shared" ca="1" si="3"/>
        <v>Empty Row</v>
      </c>
      <c r="H202" s="29" t="str">
        <f>IF(D202="Empty Row", "Empty Row",
   _xlfn.LET(
       _xlpm.lookupResult, _xlfn.XLOOKUP(D202, RawDataTable[Account Name and Number], RawDataTable[Valuation Amount], "MISSING VALUE"),
       IF(ISNUMBER(_xlpm.lookupResult), _xlpm.lookupResult, "INVALID VALUE")
   )
)</f>
        <v>Empty Row</v>
      </c>
      <c r="I202" s="2" t="str">
        <f>IF(D202="Empty Row", "Empty Row", IF(_xlfn.XLOOKUP(B202, MasterTable[IRA Custodian], MasterTable[Address], "")="", "NO STREET NAME FOUND", _xlfn.XLOOKUP(B202, MasterTable[IRA Custodian], MasterTable[Address], "")))</f>
        <v>Empty Row</v>
      </c>
      <c r="J202" s="2" t="str">
        <f>IF(D202="Empty Row", "Empty Row",
   IF(OR(
       _xlfn.XLOOKUP(B202, MasterTable[IRA Custodian], MasterTable[City], "")="",
       _xlfn.XLOOKUP(B202, MasterTable[IRA Custodian], MasterTable[State], "")="",
       _xlfn.XLOOKUP(B202, MasterTable[IRA Custodian], MasterTable[Zip], "")=""),
       "INCOMPLETE ADDRESS",
       _xlfn.CONCAT(
           _xlfn.XLOOKUP(B202, MasterTable[IRA Custodian], MasterTable[City], ""), ", ",
           _xlfn.XLOOKUP(B202, MasterTable[IRA Custodian], MasterTable[State], ""), " ",
           _xlfn.XLOOKUP(B202, MasterTable[IRA Custodian], MasterTable[Zip], "")
       )
   )
)</f>
        <v>Empty Row</v>
      </c>
    </row>
    <row r="203" spans="1:10" x14ac:dyDescent="0.25">
      <c r="A203" t="str">
        <f>IF(D203="Empty Row", "Empty Row",
   _xlfn.LET(
       _xlpm.lookupResult, _xlfn.XLOOKUP(D203, RawDataTable[Account Name and Number], RawDataTable[Entity], "RAW DATA MISSING"),
       IF(ISBLANK(_xlpm.lookupResult), "RAW DATA MISSING", _xlpm.lookupResult)
   )
)</f>
        <v>Empty Row</v>
      </c>
      <c r="B203" t="str">
        <f>IF(D203="Empty Row", "Empty Row",
   _xlfn.LET(
       _xlpm.rawDataLookup, _xlfn.XLOOKUP(D203,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03" s="56" t="str" cm="1">
        <f t="array" ref="C203">IF(D203="Empty Row", "Empty Row",
   IF(COUNTIF('Name Mapping'!H:AD, D203) &gt; 0,
      INDEX('Name Mapping'!F:F, MATCH(TRUE, MMULT(--('Name Mapping'!H:AD=D203), TRANSPOSE(COLUMN('Name Mapping'!H:AD)^0)) &gt; 0, 0)),
      "")
)</f>
        <v>Empty Row</v>
      </c>
      <c r="D203" t="str">
        <f>IF(RawDataTable[[#This Row],[Account Name and Number]]&lt;&gt;"", RawDataTable[[#This Row],[Account Name and Number]], "Empty Row")</f>
        <v>Empty Row</v>
      </c>
      <c r="E203" s="28" t="str">
        <f>IF(D203="Empty Row", "Empty Row",
   _xlfn.LET(
       _xlpm.lookupResult, _xlfn.XLOOKUP(D203, RawDataTable[Account Name and Number], RawDataTable[Investment Date], "MISSING VALUE"),
       IF(ISNUMBER(_xlpm.lookupResult), _xlpm.lookupResult, "INVALID VALUE")
   )
)</f>
        <v>Empty Row</v>
      </c>
      <c r="F203" s="29" t="str">
        <f>IF(D203="Empty Row", "Empty Row",
   _xlfn.LET(
       _xlpm.lookupResult, _xlfn.XLOOKUP(D203, RawDataTable[Account Name and Number], RawDataTable[Investment Amount], "MISSING VALUE"),
       IF(ISNUMBER(_xlpm.lookupResult), _xlpm.lookupResult, "INVALID VALUE")
   )
)</f>
        <v>Empty Row</v>
      </c>
      <c r="G203" s="28" t="str">
        <f t="shared" ca="1" si="3"/>
        <v>Empty Row</v>
      </c>
      <c r="H203" s="29" t="str">
        <f>IF(D203="Empty Row", "Empty Row",
   _xlfn.LET(
       _xlpm.lookupResult, _xlfn.XLOOKUP(D203, RawDataTable[Account Name and Number], RawDataTable[Valuation Amount], "MISSING VALUE"),
       IF(ISNUMBER(_xlpm.lookupResult), _xlpm.lookupResult, "INVALID VALUE")
   )
)</f>
        <v>Empty Row</v>
      </c>
      <c r="I203" s="2" t="str">
        <f>IF(D203="Empty Row", "Empty Row", IF(_xlfn.XLOOKUP(B203, MasterTable[IRA Custodian], MasterTable[Address], "")="", "NO STREET NAME FOUND", _xlfn.XLOOKUP(B203, MasterTable[IRA Custodian], MasterTable[Address], "")))</f>
        <v>Empty Row</v>
      </c>
      <c r="J203" s="2" t="str">
        <f>IF(D203="Empty Row", "Empty Row",
   IF(OR(
       _xlfn.XLOOKUP(B203, MasterTable[IRA Custodian], MasterTable[City], "")="",
       _xlfn.XLOOKUP(B203, MasterTable[IRA Custodian], MasterTable[State], "")="",
       _xlfn.XLOOKUP(B203, MasterTable[IRA Custodian], MasterTable[Zip], "")=""),
       "INCOMPLETE ADDRESS",
       _xlfn.CONCAT(
           _xlfn.XLOOKUP(B203, MasterTable[IRA Custodian], MasterTable[City], ""), ", ",
           _xlfn.XLOOKUP(B203, MasterTable[IRA Custodian], MasterTable[State], ""), " ",
           _xlfn.XLOOKUP(B203, MasterTable[IRA Custodian], MasterTable[Zip], "")
       )
   )
)</f>
        <v>Empty Row</v>
      </c>
    </row>
    <row r="204" spans="1:10" x14ac:dyDescent="0.25">
      <c r="A204" t="str">
        <f>IF(D204="Empty Row", "Empty Row",
   _xlfn.LET(
       _xlpm.lookupResult, _xlfn.XLOOKUP(D204, RawDataTable[Account Name and Number], RawDataTable[Entity], "RAW DATA MISSING"),
       IF(ISBLANK(_xlpm.lookupResult), "RAW DATA MISSING", _xlpm.lookupResult)
   )
)</f>
        <v>Empty Row</v>
      </c>
      <c r="B204" t="str">
        <f>IF(D204="Empty Row", "Empty Row",
   _xlfn.LET(
       _xlpm.rawDataLookup, _xlfn.XLOOKUP(D204,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04" s="56" t="str" cm="1">
        <f t="array" ref="C204">IF(D204="Empty Row", "Empty Row",
   IF(COUNTIF('Name Mapping'!H:AD, D204) &gt; 0,
      INDEX('Name Mapping'!F:F, MATCH(TRUE, MMULT(--('Name Mapping'!H:AD=D204), TRANSPOSE(COLUMN('Name Mapping'!H:AD)^0)) &gt; 0, 0)),
      "")
)</f>
        <v>Empty Row</v>
      </c>
      <c r="D204" t="str">
        <f>IF(RawDataTable[[#This Row],[Account Name and Number]]&lt;&gt;"", RawDataTable[[#This Row],[Account Name and Number]], "Empty Row")</f>
        <v>Empty Row</v>
      </c>
      <c r="E204" s="28" t="str">
        <f>IF(D204="Empty Row", "Empty Row",
   _xlfn.LET(
       _xlpm.lookupResult, _xlfn.XLOOKUP(D204, RawDataTable[Account Name and Number], RawDataTable[Investment Date], "MISSING VALUE"),
       IF(ISNUMBER(_xlpm.lookupResult), _xlpm.lookupResult, "INVALID VALUE")
   )
)</f>
        <v>Empty Row</v>
      </c>
      <c r="F204" s="29" t="str">
        <f>IF(D204="Empty Row", "Empty Row",
   _xlfn.LET(
       _xlpm.lookupResult, _xlfn.XLOOKUP(D204, RawDataTable[Account Name and Number], RawDataTable[Investment Amount], "MISSING VALUE"),
       IF(ISNUMBER(_xlpm.lookupResult), _xlpm.lookupResult, "INVALID VALUE")
   )
)</f>
        <v>Empty Row</v>
      </c>
      <c r="G204" s="28" t="str">
        <f t="shared" ca="1" si="3"/>
        <v>Empty Row</v>
      </c>
      <c r="H204" s="29" t="str">
        <f>IF(D204="Empty Row", "Empty Row",
   _xlfn.LET(
       _xlpm.lookupResult, _xlfn.XLOOKUP(D204, RawDataTable[Account Name and Number], RawDataTable[Valuation Amount], "MISSING VALUE"),
       IF(ISNUMBER(_xlpm.lookupResult), _xlpm.lookupResult, "INVALID VALUE")
   )
)</f>
        <v>Empty Row</v>
      </c>
      <c r="I204" s="2" t="str">
        <f>IF(D204="Empty Row", "Empty Row", IF(_xlfn.XLOOKUP(B204, MasterTable[IRA Custodian], MasterTable[Address], "")="", "NO STREET NAME FOUND", _xlfn.XLOOKUP(B204, MasterTable[IRA Custodian], MasterTable[Address], "")))</f>
        <v>Empty Row</v>
      </c>
      <c r="J204" s="2" t="str">
        <f>IF(D204="Empty Row", "Empty Row",
   IF(OR(
       _xlfn.XLOOKUP(B204, MasterTable[IRA Custodian], MasterTable[City], "")="",
       _xlfn.XLOOKUP(B204, MasterTable[IRA Custodian], MasterTable[State], "")="",
       _xlfn.XLOOKUP(B204, MasterTable[IRA Custodian], MasterTable[Zip], "")=""),
       "INCOMPLETE ADDRESS",
       _xlfn.CONCAT(
           _xlfn.XLOOKUP(B204, MasterTable[IRA Custodian], MasterTable[City], ""), ", ",
           _xlfn.XLOOKUP(B204, MasterTable[IRA Custodian], MasterTable[State], ""), " ",
           _xlfn.XLOOKUP(B204, MasterTable[IRA Custodian], MasterTable[Zip], "")
       )
   )
)</f>
        <v>Empty Row</v>
      </c>
    </row>
    <row r="205" spans="1:10" x14ac:dyDescent="0.25">
      <c r="A205" t="str">
        <f>IF(D205="Empty Row", "Empty Row",
   _xlfn.LET(
       _xlpm.lookupResult, _xlfn.XLOOKUP(D205, RawDataTable[Account Name and Number], RawDataTable[Entity], "RAW DATA MISSING"),
       IF(ISBLANK(_xlpm.lookupResult), "RAW DATA MISSING", _xlpm.lookupResult)
   )
)</f>
        <v>Empty Row</v>
      </c>
      <c r="B205" t="str">
        <f>IF(D205="Empty Row", "Empty Row",
   _xlfn.LET(
       _xlpm.rawDataLookup, _xlfn.XLOOKUP(D205,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05" s="56" t="str" cm="1">
        <f t="array" ref="C205">IF(D205="Empty Row", "Empty Row",
   IF(COUNTIF('Name Mapping'!H:AD, D205) &gt; 0,
      INDEX('Name Mapping'!F:F, MATCH(TRUE, MMULT(--('Name Mapping'!H:AD=D205), TRANSPOSE(COLUMN('Name Mapping'!H:AD)^0)) &gt; 0, 0)),
      "")
)</f>
        <v>Empty Row</v>
      </c>
      <c r="D205" t="str">
        <f>IF(RawDataTable[[#This Row],[Account Name and Number]]&lt;&gt;"", RawDataTable[[#This Row],[Account Name and Number]], "Empty Row")</f>
        <v>Empty Row</v>
      </c>
      <c r="E205" s="28" t="str">
        <f>IF(D205="Empty Row", "Empty Row",
   _xlfn.LET(
       _xlpm.lookupResult, _xlfn.XLOOKUP(D205, RawDataTable[Account Name and Number], RawDataTable[Investment Date], "MISSING VALUE"),
       IF(ISNUMBER(_xlpm.lookupResult), _xlpm.lookupResult, "INVALID VALUE")
   )
)</f>
        <v>Empty Row</v>
      </c>
      <c r="F205" s="29" t="str">
        <f>IF(D205="Empty Row", "Empty Row",
   _xlfn.LET(
       _xlpm.lookupResult, _xlfn.XLOOKUP(D205, RawDataTable[Account Name and Number], RawDataTable[Investment Amount], "MISSING VALUE"),
       IF(ISNUMBER(_xlpm.lookupResult), _xlpm.lookupResult, "INVALID VALUE")
   )
)</f>
        <v>Empty Row</v>
      </c>
      <c r="G205" s="28" t="str">
        <f t="shared" ca="1" si="3"/>
        <v>Empty Row</v>
      </c>
      <c r="H205" s="29" t="str">
        <f>IF(D205="Empty Row", "Empty Row",
   _xlfn.LET(
       _xlpm.lookupResult, _xlfn.XLOOKUP(D205, RawDataTable[Account Name and Number], RawDataTable[Valuation Amount], "MISSING VALUE"),
       IF(ISNUMBER(_xlpm.lookupResult), _xlpm.lookupResult, "INVALID VALUE")
   )
)</f>
        <v>Empty Row</v>
      </c>
      <c r="I205" s="2" t="str">
        <f>IF(D205="Empty Row", "Empty Row", IF(_xlfn.XLOOKUP(B205, MasterTable[IRA Custodian], MasterTable[Address], "")="", "NO STREET NAME FOUND", _xlfn.XLOOKUP(B205, MasterTable[IRA Custodian], MasterTable[Address], "")))</f>
        <v>Empty Row</v>
      </c>
      <c r="J205" s="2" t="str">
        <f>IF(D205="Empty Row", "Empty Row",
   IF(OR(
       _xlfn.XLOOKUP(B205, MasterTable[IRA Custodian], MasterTable[City], "")="",
       _xlfn.XLOOKUP(B205, MasterTable[IRA Custodian], MasterTable[State], "")="",
       _xlfn.XLOOKUP(B205, MasterTable[IRA Custodian], MasterTable[Zip], "")=""),
       "INCOMPLETE ADDRESS",
       _xlfn.CONCAT(
           _xlfn.XLOOKUP(B205, MasterTable[IRA Custodian], MasterTable[City], ""), ", ",
           _xlfn.XLOOKUP(B205, MasterTable[IRA Custodian], MasterTable[State], ""), " ",
           _xlfn.XLOOKUP(B205, MasterTable[IRA Custodian], MasterTable[Zip], "")
       )
   )
)</f>
        <v>Empty Row</v>
      </c>
    </row>
    <row r="206" spans="1:10" x14ac:dyDescent="0.25">
      <c r="A206" t="str">
        <f>IF(D206="Empty Row", "Empty Row",
   _xlfn.LET(
       _xlpm.lookupResult, _xlfn.XLOOKUP(D206, RawDataTable[Account Name and Number], RawDataTable[Entity], "RAW DATA MISSING"),
       IF(ISBLANK(_xlpm.lookupResult), "RAW DATA MISSING", _xlpm.lookupResult)
   )
)</f>
        <v>Empty Row</v>
      </c>
      <c r="B206" t="str">
        <f>IF(D206="Empty Row", "Empty Row",
   _xlfn.LET(
       _xlpm.rawDataLookup, _xlfn.XLOOKUP(D206,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06" s="56" t="str" cm="1">
        <f t="array" ref="C206">IF(D206="Empty Row", "Empty Row",
   IF(COUNTIF('Name Mapping'!H:AD, D206) &gt; 0,
      INDEX('Name Mapping'!F:F, MATCH(TRUE, MMULT(--('Name Mapping'!H:AD=D206), TRANSPOSE(COLUMN('Name Mapping'!H:AD)^0)) &gt; 0, 0)),
      "")
)</f>
        <v>Empty Row</v>
      </c>
      <c r="D206" t="str">
        <f>IF(RawDataTable[[#This Row],[Account Name and Number]]&lt;&gt;"", RawDataTable[[#This Row],[Account Name and Number]], "Empty Row")</f>
        <v>Empty Row</v>
      </c>
      <c r="E206" s="28" t="str">
        <f>IF(D206="Empty Row", "Empty Row",
   _xlfn.LET(
       _xlpm.lookupResult, _xlfn.XLOOKUP(D206, RawDataTable[Account Name and Number], RawDataTable[Investment Date], "MISSING VALUE"),
       IF(ISNUMBER(_xlpm.lookupResult), _xlpm.lookupResult, "INVALID VALUE")
   )
)</f>
        <v>Empty Row</v>
      </c>
      <c r="F206" s="29" t="str">
        <f>IF(D206="Empty Row", "Empty Row",
   _xlfn.LET(
       _xlpm.lookupResult, _xlfn.XLOOKUP(D206, RawDataTable[Account Name and Number], RawDataTable[Investment Amount], "MISSING VALUE"),
       IF(ISNUMBER(_xlpm.lookupResult), _xlpm.lookupResult, "INVALID VALUE")
   )
)</f>
        <v>Empty Row</v>
      </c>
      <c r="G206" s="28" t="str">
        <f t="shared" ca="1" si="3"/>
        <v>Empty Row</v>
      </c>
      <c r="H206" s="29" t="str">
        <f>IF(D206="Empty Row", "Empty Row",
   _xlfn.LET(
       _xlpm.lookupResult, _xlfn.XLOOKUP(D206, RawDataTable[Account Name and Number], RawDataTable[Valuation Amount], "MISSING VALUE"),
       IF(ISNUMBER(_xlpm.lookupResult), _xlpm.lookupResult, "INVALID VALUE")
   )
)</f>
        <v>Empty Row</v>
      </c>
      <c r="I206" s="2" t="str">
        <f>IF(D206="Empty Row", "Empty Row", IF(_xlfn.XLOOKUP(B206, MasterTable[IRA Custodian], MasterTable[Address], "")="", "NO STREET NAME FOUND", _xlfn.XLOOKUP(B206, MasterTable[IRA Custodian], MasterTable[Address], "")))</f>
        <v>Empty Row</v>
      </c>
      <c r="J206" s="2" t="str">
        <f>IF(D206="Empty Row", "Empty Row",
   IF(OR(
       _xlfn.XLOOKUP(B206, MasterTable[IRA Custodian], MasterTable[City], "")="",
       _xlfn.XLOOKUP(B206, MasterTable[IRA Custodian], MasterTable[State], "")="",
       _xlfn.XLOOKUP(B206, MasterTable[IRA Custodian], MasterTable[Zip], "")=""),
       "INCOMPLETE ADDRESS",
       _xlfn.CONCAT(
           _xlfn.XLOOKUP(B206, MasterTable[IRA Custodian], MasterTable[City], ""), ", ",
           _xlfn.XLOOKUP(B206, MasterTable[IRA Custodian], MasterTable[State], ""), " ",
           _xlfn.XLOOKUP(B206, MasterTable[IRA Custodian], MasterTable[Zip], "")
       )
   )
)</f>
        <v>Empty Row</v>
      </c>
    </row>
    <row r="207" spans="1:10" x14ac:dyDescent="0.25">
      <c r="A207" t="str">
        <f>IF(D207="Empty Row", "Empty Row",
   _xlfn.LET(
       _xlpm.lookupResult, _xlfn.XLOOKUP(D207, RawDataTable[Account Name and Number], RawDataTable[Entity], "RAW DATA MISSING"),
       IF(ISBLANK(_xlpm.lookupResult), "RAW DATA MISSING", _xlpm.lookupResult)
   )
)</f>
        <v>Empty Row</v>
      </c>
      <c r="B207" t="str">
        <f>IF(D207="Empty Row", "Empty Row",
   _xlfn.LET(
       _xlpm.rawDataLookup, _xlfn.XLOOKUP(D207,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07" s="56" t="str" cm="1">
        <f t="array" ref="C207">IF(D207="Empty Row", "Empty Row",
   IF(COUNTIF('Name Mapping'!H:AD, D207) &gt; 0,
      INDEX('Name Mapping'!F:F, MATCH(TRUE, MMULT(--('Name Mapping'!H:AD=D207), TRANSPOSE(COLUMN('Name Mapping'!H:AD)^0)) &gt; 0, 0)),
      "")
)</f>
        <v>Empty Row</v>
      </c>
      <c r="D207" t="str">
        <f>IF(RawDataTable[[#This Row],[Account Name and Number]]&lt;&gt;"", RawDataTable[[#This Row],[Account Name and Number]], "Empty Row")</f>
        <v>Empty Row</v>
      </c>
      <c r="E207" s="28" t="str">
        <f>IF(D207="Empty Row", "Empty Row",
   _xlfn.LET(
       _xlpm.lookupResult, _xlfn.XLOOKUP(D207, RawDataTable[Account Name and Number], RawDataTable[Investment Date], "MISSING VALUE"),
       IF(ISNUMBER(_xlpm.lookupResult), _xlpm.lookupResult, "INVALID VALUE")
   )
)</f>
        <v>Empty Row</v>
      </c>
      <c r="F207" s="29" t="str">
        <f>IF(D207="Empty Row", "Empty Row",
   _xlfn.LET(
       _xlpm.lookupResult, _xlfn.XLOOKUP(D207, RawDataTable[Account Name and Number], RawDataTable[Investment Amount], "MISSING VALUE"),
       IF(ISNUMBER(_xlpm.lookupResult), _xlpm.lookupResult, "INVALID VALUE")
   )
)</f>
        <v>Empty Row</v>
      </c>
      <c r="G207" s="28" t="str">
        <f t="shared" ca="1" si="3"/>
        <v>Empty Row</v>
      </c>
      <c r="H207" s="29" t="str">
        <f>IF(D207="Empty Row", "Empty Row",
   _xlfn.LET(
       _xlpm.lookupResult, _xlfn.XLOOKUP(D207, RawDataTable[Account Name and Number], RawDataTable[Valuation Amount], "MISSING VALUE"),
       IF(ISNUMBER(_xlpm.lookupResult), _xlpm.lookupResult, "INVALID VALUE")
   )
)</f>
        <v>Empty Row</v>
      </c>
      <c r="I207" s="2" t="str">
        <f>IF(D207="Empty Row", "Empty Row", IF(_xlfn.XLOOKUP(B207, MasterTable[IRA Custodian], MasterTable[Address], "")="", "NO STREET NAME FOUND", _xlfn.XLOOKUP(B207, MasterTable[IRA Custodian], MasterTable[Address], "")))</f>
        <v>Empty Row</v>
      </c>
      <c r="J207" s="2" t="str">
        <f>IF(D207="Empty Row", "Empty Row",
   IF(OR(
       _xlfn.XLOOKUP(B207, MasterTable[IRA Custodian], MasterTable[City], "")="",
       _xlfn.XLOOKUP(B207, MasterTable[IRA Custodian], MasterTable[State], "")="",
       _xlfn.XLOOKUP(B207, MasterTable[IRA Custodian], MasterTable[Zip], "")=""),
       "INCOMPLETE ADDRESS",
       _xlfn.CONCAT(
           _xlfn.XLOOKUP(B207, MasterTable[IRA Custodian], MasterTable[City], ""), ", ",
           _xlfn.XLOOKUP(B207, MasterTable[IRA Custodian], MasterTable[State], ""), " ",
           _xlfn.XLOOKUP(B207, MasterTable[IRA Custodian], MasterTable[Zip], "")
       )
   )
)</f>
        <v>Empty Row</v>
      </c>
    </row>
    <row r="208" spans="1:10" x14ac:dyDescent="0.25">
      <c r="A208" t="str">
        <f>IF(D208="Empty Row", "Empty Row",
   _xlfn.LET(
       _xlpm.lookupResult, _xlfn.XLOOKUP(D208, RawDataTable[Account Name and Number], RawDataTable[Entity], "RAW DATA MISSING"),
       IF(ISBLANK(_xlpm.lookupResult), "RAW DATA MISSING", _xlpm.lookupResult)
   )
)</f>
        <v>Empty Row</v>
      </c>
      <c r="B208" t="str">
        <f>IF(D208="Empty Row", "Empty Row",
   _xlfn.LET(
       _xlpm.rawDataLookup, _xlfn.XLOOKUP(D208,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08" s="56" t="str" cm="1">
        <f t="array" ref="C208">IF(D208="Empty Row", "Empty Row",
   IF(COUNTIF('Name Mapping'!H:AD, D208) &gt; 0,
      INDEX('Name Mapping'!F:F, MATCH(TRUE, MMULT(--('Name Mapping'!H:AD=D208), TRANSPOSE(COLUMN('Name Mapping'!H:AD)^0)) &gt; 0, 0)),
      "")
)</f>
        <v>Empty Row</v>
      </c>
      <c r="D208" t="str">
        <f>IF(RawDataTable[[#This Row],[Account Name and Number]]&lt;&gt;"", RawDataTable[[#This Row],[Account Name and Number]], "Empty Row")</f>
        <v>Empty Row</v>
      </c>
      <c r="E208" s="28" t="str">
        <f>IF(D208="Empty Row", "Empty Row",
   _xlfn.LET(
       _xlpm.lookupResult, _xlfn.XLOOKUP(D208, RawDataTable[Account Name and Number], RawDataTable[Investment Date], "MISSING VALUE"),
       IF(ISNUMBER(_xlpm.lookupResult), _xlpm.lookupResult, "INVALID VALUE")
   )
)</f>
        <v>Empty Row</v>
      </c>
      <c r="F208" s="29" t="str">
        <f>IF(D208="Empty Row", "Empty Row",
   _xlfn.LET(
       _xlpm.lookupResult, _xlfn.XLOOKUP(D208, RawDataTable[Account Name and Number], RawDataTable[Investment Amount], "MISSING VALUE"),
       IF(ISNUMBER(_xlpm.lookupResult), _xlpm.lookupResult, "INVALID VALUE")
   )
)</f>
        <v>Empty Row</v>
      </c>
      <c r="G208" s="28" t="str">
        <f t="shared" ca="1" si="3"/>
        <v>Empty Row</v>
      </c>
      <c r="H208" s="29" t="str">
        <f>IF(D208="Empty Row", "Empty Row",
   _xlfn.LET(
       _xlpm.lookupResult, _xlfn.XLOOKUP(D208, RawDataTable[Account Name and Number], RawDataTable[Valuation Amount], "MISSING VALUE"),
       IF(ISNUMBER(_xlpm.lookupResult), _xlpm.lookupResult, "INVALID VALUE")
   )
)</f>
        <v>Empty Row</v>
      </c>
      <c r="I208" s="2" t="str">
        <f>IF(D208="Empty Row", "Empty Row", IF(_xlfn.XLOOKUP(B208, MasterTable[IRA Custodian], MasterTable[Address], "")="", "NO STREET NAME FOUND", _xlfn.XLOOKUP(B208, MasterTable[IRA Custodian], MasterTable[Address], "")))</f>
        <v>Empty Row</v>
      </c>
      <c r="J208" s="2" t="str">
        <f>IF(D208="Empty Row", "Empty Row",
   IF(OR(
       _xlfn.XLOOKUP(B208, MasterTable[IRA Custodian], MasterTable[City], "")="",
       _xlfn.XLOOKUP(B208, MasterTable[IRA Custodian], MasterTable[State], "")="",
       _xlfn.XLOOKUP(B208, MasterTable[IRA Custodian], MasterTable[Zip], "")=""),
       "INCOMPLETE ADDRESS",
       _xlfn.CONCAT(
           _xlfn.XLOOKUP(B208, MasterTable[IRA Custodian], MasterTable[City], ""), ", ",
           _xlfn.XLOOKUP(B208, MasterTable[IRA Custodian], MasterTable[State], ""), " ",
           _xlfn.XLOOKUP(B208, MasterTable[IRA Custodian], MasterTable[Zip], "")
       )
   )
)</f>
        <v>Empty Row</v>
      </c>
    </row>
    <row r="209" spans="1:10" x14ac:dyDescent="0.25">
      <c r="A209" t="str">
        <f>IF(D209="Empty Row", "Empty Row",
   _xlfn.LET(
       _xlpm.lookupResult, _xlfn.XLOOKUP(D209, RawDataTable[Account Name and Number], RawDataTable[Entity], "RAW DATA MISSING"),
       IF(ISBLANK(_xlpm.lookupResult), "RAW DATA MISSING", _xlpm.lookupResult)
   )
)</f>
        <v>Empty Row</v>
      </c>
      <c r="B209" t="str">
        <f>IF(D209="Empty Row", "Empty Row",
   _xlfn.LET(
       _xlpm.rawDataLookup, _xlfn.XLOOKUP(D209,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09" s="56" t="str" cm="1">
        <f t="array" ref="C209">IF(D209="Empty Row", "Empty Row",
   IF(COUNTIF('Name Mapping'!H:AD, D209) &gt; 0,
      INDEX('Name Mapping'!F:F, MATCH(TRUE, MMULT(--('Name Mapping'!H:AD=D209), TRANSPOSE(COLUMN('Name Mapping'!H:AD)^0)) &gt; 0, 0)),
      "")
)</f>
        <v>Empty Row</v>
      </c>
      <c r="D209" t="str">
        <f>IF(RawDataTable[[#This Row],[Account Name and Number]]&lt;&gt;"", RawDataTable[[#This Row],[Account Name and Number]], "Empty Row")</f>
        <v>Empty Row</v>
      </c>
      <c r="E209" s="28" t="str">
        <f>IF(D209="Empty Row", "Empty Row",
   _xlfn.LET(
       _xlpm.lookupResult, _xlfn.XLOOKUP(D209, RawDataTable[Account Name and Number], RawDataTable[Investment Date], "MISSING VALUE"),
       IF(ISNUMBER(_xlpm.lookupResult), _xlpm.lookupResult, "INVALID VALUE")
   )
)</f>
        <v>Empty Row</v>
      </c>
      <c r="F209" s="29" t="str">
        <f>IF(D209="Empty Row", "Empty Row",
   _xlfn.LET(
       _xlpm.lookupResult, _xlfn.XLOOKUP(D209, RawDataTable[Account Name and Number], RawDataTable[Investment Amount], "MISSING VALUE"),
       IF(ISNUMBER(_xlpm.lookupResult), _xlpm.lookupResult, "INVALID VALUE")
   )
)</f>
        <v>Empty Row</v>
      </c>
      <c r="G209" s="28" t="str">
        <f t="shared" ca="1" si="3"/>
        <v>Empty Row</v>
      </c>
      <c r="H209" s="29" t="str">
        <f>IF(D209="Empty Row", "Empty Row",
   _xlfn.LET(
       _xlpm.lookupResult, _xlfn.XLOOKUP(D209, RawDataTable[Account Name and Number], RawDataTable[Valuation Amount], "MISSING VALUE"),
       IF(ISNUMBER(_xlpm.lookupResult), _xlpm.lookupResult, "INVALID VALUE")
   )
)</f>
        <v>Empty Row</v>
      </c>
      <c r="I209" s="2" t="str">
        <f>IF(D209="Empty Row", "Empty Row", IF(_xlfn.XLOOKUP(B209, MasterTable[IRA Custodian], MasterTable[Address], "")="", "NO STREET NAME FOUND", _xlfn.XLOOKUP(B209, MasterTable[IRA Custodian], MasterTable[Address], "")))</f>
        <v>Empty Row</v>
      </c>
      <c r="J209" s="2" t="str">
        <f>IF(D209="Empty Row", "Empty Row",
   IF(OR(
       _xlfn.XLOOKUP(B209, MasterTable[IRA Custodian], MasterTable[City], "")="",
       _xlfn.XLOOKUP(B209, MasterTable[IRA Custodian], MasterTable[State], "")="",
       _xlfn.XLOOKUP(B209, MasterTable[IRA Custodian], MasterTable[Zip], "")=""),
       "INCOMPLETE ADDRESS",
       _xlfn.CONCAT(
           _xlfn.XLOOKUP(B209, MasterTable[IRA Custodian], MasterTable[City], ""), ", ",
           _xlfn.XLOOKUP(B209, MasterTable[IRA Custodian], MasterTable[State], ""), " ",
           _xlfn.XLOOKUP(B209, MasterTable[IRA Custodian], MasterTable[Zip], "")
       )
   )
)</f>
        <v>Empty Row</v>
      </c>
    </row>
    <row r="210" spans="1:10" x14ac:dyDescent="0.25">
      <c r="A210" t="str">
        <f>IF(D210="Empty Row", "Empty Row",
   _xlfn.LET(
       _xlpm.lookupResult, _xlfn.XLOOKUP(D210, RawDataTable[Account Name and Number], RawDataTable[Entity], "RAW DATA MISSING"),
       IF(ISBLANK(_xlpm.lookupResult), "RAW DATA MISSING", _xlpm.lookupResult)
   )
)</f>
        <v>Empty Row</v>
      </c>
      <c r="B210" t="str">
        <f>IF(D210="Empty Row", "Empty Row",
   _xlfn.LET(
       _xlpm.rawDataLookup, _xlfn.XLOOKUP(D210,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10" s="56" t="str" cm="1">
        <f t="array" ref="C210">IF(D210="Empty Row", "Empty Row",
   IF(COUNTIF('Name Mapping'!H:AD, D210) &gt; 0,
      INDEX('Name Mapping'!F:F, MATCH(TRUE, MMULT(--('Name Mapping'!H:AD=D210), TRANSPOSE(COLUMN('Name Mapping'!H:AD)^0)) &gt; 0, 0)),
      "")
)</f>
        <v>Empty Row</v>
      </c>
      <c r="D210" t="str">
        <f>IF(RawDataTable[[#This Row],[Account Name and Number]]&lt;&gt;"", RawDataTable[[#This Row],[Account Name and Number]], "Empty Row")</f>
        <v>Empty Row</v>
      </c>
      <c r="E210" s="28" t="str">
        <f>IF(D210="Empty Row", "Empty Row",
   _xlfn.LET(
       _xlpm.lookupResult, _xlfn.XLOOKUP(D210, RawDataTable[Account Name and Number], RawDataTable[Investment Date], "MISSING VALUE"),
       IF(ISNUMBER(_xlpm.lookupResult), _xlpm.lookupResult, "INVALID VALUE")
   )
)</f>
        <v>Empty Row</v>
      </c>
      <c r="F210" s="29" t="str">
        <f>IF(D210="Empty Row", "Empty Row",
   _xlfn.LET(
       _xlpm.lookupResult, _xlfn.XLOOKUP(D210, RawDataTable[Account Name and Number], RawDataTable[Investment Amount], "MISSING VALUE"),
       IF(ISNUMBER(_xlpm.lookupResult), _xlpm.lookupResult, "INVALID VALUE")
   )
)</f>
        <v>Empty Row</v>
      </c>
      <c r="G210" s="28" t="str">
        <f t="shared" ca="1" si="3"/>
        <v>Empty Row</v>
      </c>
      <c r="H210" s="29" t="str">
        <f>IF(D210="Empty Row", "Empty Row",
   _xlfn.LET(
       _xlpm.lookupResult, _xlfn.XLOOKUP(D210, RawDataTable[Account Name and Number], RawDataTable[Valuation Amount], "MISSING VALUE"),
       IF(ISNUMBER(_xlpm.lookupResult), _xlpm.lookupResult, "INVALID VALUE")
   )
)</f>
        <v>Empty Row</v>
      </c>
      <c r="I210" s="2" t="str">
        <f>IF(D210="Empty Row", "Empty Row", IF(_xlfn.XLOOKUP(B210, MasterTable[IRA Custodian], MasterTable[Address], "")="", "NO STREET NAME FOUND", _xlfn.XLOOKUP(B210, MasterTable[IRA Custodian], MasterTable[Address], "")))</f>
        <v>Empty Row</v>
      </c>
      <c r="J210" s="2" t="str">
        <f>IF(D210="Empty Row", "Empty Row",
   IF(OR(
       _xlfn.XLOOKUP(B210, MasterTable[IRA Custodian], MasterTable[City], "")="",
       _xlfn.XLOOKUP(B210, MasterTable[IRA Custodian], MasterTable[State], "")="",
       _xlfn.XLOOKUP(B210, MasterTable[IRA Custodian], MasterTable[Zip], "")=""),
       "INCOMPLETE ADDRESS",
       _xlfn.CONCAT(
           _xlfn.XLOOKUP(B210, MasterTable[IRA Custodian], MasterTable[City], ""), ", ",
           _xlfn.XLOOKUP(B210, MasterTable[IRA Custodian], MasterTable[State], ""), " ",
           _xlfn.XLOOKUP(B210, MasterTable[IRA Custodian], MasterTable[Zip], "")
       )
   )
)</f>
        <v>Empty Row</v>
      </c>
    </row>
    <row r="211" spans="1:10" x14ac:dyDescent="0.25">
      <c r="A211" t="str">
        <f>IF(D211="Empty Row", "Empty Row",
   _xlfn.LET(
       _xlpm.lookupResult, _xlfn.XLOOKUP(D211, RawDataTable[Account Name and Number], RawDataTable[Entity], "RAW DATA MISSING"),
       IF(ISBLANK(_xlpm.lookupResult), "RAW DATA MISSING", _xlpm.lookupResult)
   )
)</f>
        <v>Empty Row</v>
      </c>
      <c r="B211" t="str">
        <f>IF(D211="Empty Row", "Empty Row",
   _xlfn.LET(
       _xlpm.rawDataLookup, _xlfn.XLOOKUP(D211,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11" s="56" t="str" cm="1">
        <f t="array" ref="C211">IF(D211="Empty Row", "Empty Row",
   IF(COUNTIF('Name Mapping'!H:AD, D211) &gt; 0,
      INDEX('Name Mapping'!F:F, MATCH(TRUE, MMULT(--('Name Mapping'!H:AD=D211), TRANSPOSE(COLUMN('Name Mapping'!H:AD)^0)) &gt; 0, 0)),
      "")
)</f>
        <v>Empty Row</v>
      </c>
      <c r="D211" t="str">
        <f>IF(RawDataTable[[#This Row],[Account Name and Number]]&lt;&gt;"", RawDataTable[[#This Row],[Account Name and Number]], "Empty Row")</f>
        <v>Empty Row</v>
      </c>
      <c r="E211" s="28" t="str">
        <f>IF(D211="Empty Row", "Empty Row",
   _xlfn.LET(
       _xlpm.lookupResult, _xlfn.XLOOKUP(D211, RawDataTable[Account Name and Number], RawDataTable[Investment Date], "MISSING VALUE"),
       IF(ISNUMBER(_xlpm.lookupResult), _xlpm.lookupResult, "INVALID VALUE")
   )
)</f>
        <v>Empty Row</v>
      </c>
      <c r="F211" s="29" t="str">
        <f>IF(D211="Empty Row", "Empty Row",
   _xlfn.LET(
       _xlpm.lookupResult, _xlfn.XLOOKUP(D211, RawDataTable[Account Name and Number], RawDataTable[Investment Amount], "MISSING VALUE"),
       IF(ISNUMBER(_xlpm.lookupResult), _xlpm.lookupResult, "INVALID VALUE")
   )
)</f>
        <v>Empty Row</v>
      </c>
      <c r="G211" s="28" t="str">
        <f t="shared" ca="1" si="3"/>
        <v>Empty Row</v>
      </c>
      <c r="H211" s="29" t="str">
        <f>IF(D211="Empty Row", "Empty Row",
   _xlfn.LET(
       _xlpm.lookupResult, _xlfn.XLOOKUP(D211, RawDataTable[Account Name and Number], RawDataTable[Valuation Amount], "MISSING VALUE"),
       IF(ISNUMBER(_xlpm.lookupResult), _xlpm.lookupResult, "INVALID VALUE")
   )
)</f>
        <v>Empty Row</v>
      </c>
      <c r="I211" s="2" t="str">
        <f>IF(D211="Empty Row", "Empty Row", IF(_xlfn.XLOOKUP(B211, MasterTable[IRA Custodian], MasterTable[Address], "")="", "NO STREET NAME FOUND", _xlfn.XLOOKUP(B211, MasterTable[IRA Custodian], MasterTable[Address], "")))</f>
        <v>Empty Row</v>
      </c>
      <c r="J211" s="2" t="str">
        <f>IF(D211="Empty Row", "Empty Row",
   IF(OR(
       _xlfn.XLOOKUP(B211, MasterTable[IRA Custodian], MasterTable[City], "")="",
       _xlfn.XLOOKUP(B211, MasterTable[IRA Custodian], MasterTable[State], "")="",
       _xlfn.XLOOKUP(B211, MasterTable[IRA Custodian], MasterTable[Zip], "")=""),
       "INCOMPLETE ADDRESS",
       _xlfn.CONCAT(
           _xlfn.XLOOKUP(B211, MasterTable[IRA Custodian], MasterTable[City], ""), ", ",
           _xlfn.XLOOKUP(B211, MasterTable[IRA Custodian], MasterTable[State], ""), " ",
           _xlfn.XLOOKUP(B211, MasterTable[IRA Custodian], MasterTable[Zip], "")
       )
   )
)</f>
        <v>Empty Row</v>
      </c>
    </row>
    <row r="212" spans="1:10" x14ac:dyDescent="0.25">
      <c r="A212" t="str">
        <f>IF(D212="Empty Row", "Empty Row",
   _xlfn.LET(
       _xlpm.lookupResult, _xlfn.XLOOKUP(D212, RawDataTable[Account Name and Number], RawDataTable[Entity], "RAW DATA MISSING"),
       IF(ISBLANK(_xlpm.lookupResult), "RAW DATA MISSING", _xlpm.lookupResult)
   )
)</f>
        <v>Empty Row</v>
      </c>
      <c r="B212" t="str">
        <f>IF(D212="Empty Row", "Empty Row",
   _xlfn.LET(
       _xlpm.rawDataLookup, _xlfn.XLOOKUP(D212,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12" s="56" t="str" cm="1">
        <f t="array" ref="C212">IF(D212="Empty Row", "Empty Row",
   IF(COUNTIF('Name Mapping'!H:AD, D212) &gt; 0,
      INDEX('Name Mapping'!F:F, MATCH(TRUE, MMULT(--('Name Mapping'!H:AD=D212), TRANSPOSE(COLUMN('Name Mapping'!H:AD)^0)) &gt; 0, 0)),
      "")
)</f>
        <v>Empty Row</v>
      </c>
      <c r="D212" t="str">
        <f>IF(RawDataTable[[#This Row],[Account Name and Number]]&lt;&gt;"", RawDataTable[[#This Row],[Account Name and Number]], "Empty Row")</f>
        <v>Empty Row</v>
      </c>
      <c r="E212" s="28" t="str">
        <f>IF(D212="Empty Row", "Empty Row",
   _xlfn.LET(
       _xlpm.lookupResult, _xlfn.XLOOKUP(D212, RawDataTable[Account Name and Number], RawDataTable[Investment Date], "MISSING VALUE"),
       IF(ISNUMBER(_xlpm.lookupResult), _xlpm.lookupResult, "INVALID VALUE")
   )
)</f>
        <v>Empty Row</v>
      </c>
      <c r="F212" s="29" t="str">
        <f>IF(D212="Empty Row", "Empty Row",
   _xlfn.LET(
       _xlpm.lookupResult, _xlfn.XLOOKUP(D212, RawDataTable[Account Name and Number], RawDataTable[Investment Amount], "MISSING VALUE"),
       IF(ISNUMBER(_xlpm.lookupResult), _xlpm.lookupResult, "INVALID VALUE")
   )
)</f>
        <v>Empty Row</v>
      </c>
      <c r="G212" s="28" t="str">
        <f t="shared" ca="1" si="3"/>
        <v>Empty Row</v>
      </c>
      <c r="H212" s="29" t="str">
        <f>IF(D212="Empty Row", "Empty Row",
   _xlfn.LET(
       _xlpm.lookupResult, _xlfn.XLOOKUP(D212, RawDataTable[Account Name and Number], RawDataTable[Valuation Amount], "MISSING VALUE"),
       IF(ISNUMBER(_xlpm.lookupResult), _xlpm.lookupResult, "INVALID VALUE")
   )
)</f>
        <v>Empty Row</v>
      </c>
      <c r="I212" s="2" t="str">
        <f>IF(D212="Empty Row", "Empty Row", IF(_xlfn.XLOOKUP(B212, MasterTable[IRA Custodian], MasterTable[Address], "")="", "NO STREET NAME FOUND", _xlfn.XLOOKUP(B212, MasterTable[IRA Custodian], MasterTable[Address], "")))</f>
        <v>Empty Row</v>
      </c>
      <c r="J212" s="2" t="str">
        <f>IF(D212="Empty Row", "Empty Row",
   IF(OR(
       _xlfn.XLOOKUP(B212, MasterTable[IRA Custodian], MasterTable[City], "")="",
       _xlfn.XLOOKUP(B212, MasterTable[IRA Custodian], MasterTable[State], "")="",
       _xlfn.XLOOKUP(B212, MasterTable[IRA Custodian], MasterTable[Zip], "")=""),
       "INCOMPLETE ADDRESS",
       _xlfn.CONCAT(
           _xlfn.XLOOKUP(B212, MasterTable[IRA Custodian], MasterTable[City], ""), ", ",
           _xlfn.XLOOKUP(B212, MasterTable[IRA Custodian], MasterTable[State], ""), " ",
           _xlfn.XLOOKUP(B212, MasterTable[IRA Custodian], MasterTable[Zip], "")
       )
   )
)</f>
        <v>Empty Row</v>
      </c>
    </row>
    <row r="213" spans="1:10" x14ac:dyDescent="0.25">
      <c r="A213" t="str">
        <f>IF(D213="Empty Row", "Empty Row",
   _xlfn.LET(
       _xlpm.lookupResult, _xlfn.XLOOKUP(D213, RawDataTable[Account Name and Number], RawDataTable[Entity], "RAW DATA MISSING"),
       IF(ISBLANK(_xlpm.lookupResult), "RAW DATA MISSING", _xlpm.lookupResult)
   )
)</f>
        <v>Empty Row</v>
      </c>
      <c r="B213" t="str">
        <f>IF(D213="Empty Row", "Empty Row",
   _xlfn.LET(
       _xlpm.rawDataLookup, _xlfn.XLOOKUP(D213,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13" s="56" t="str" cm="1">
        <f t="array" ref="C213">IF(D213="Empty Row", "Empty Row",
   IF(COUNTIF('Name Mapping'!H:AD, D213) &gt; 0,
      INDEX('Name Mapping'!F:F, MATCH(TRUE, MMULT(--('Name Mapping'!H:AD=D213), TRANSPOSE(COLUMN('Name Mapping'!H:AD)^0)) &gt; 0, 0)),
      "")
)</f>
        <v>Empty Row</v>
      </c>
      <c r="D213" t="str">
        <f>IF(RawDataTable[[#This Row],[Account Name and Number]]&lt;&gt;"", RawDataTable[[#This Row],[Account Name and Number]], "Empty Row")</f>
        <v>Empty Row</v>
      </c>
      <c r="E213" s="28" t="str">
        <f>IF(D213="Empty Row", "Empty Row",
   _xlfn.LET(
       _xlpm.lookupResult, _xlfn.XLOOKUP(D213, RawDataTable[Account Name and Number], RawDataTable[Investment Date], "MISSING VALUE"),
       IF(ISNUMBER(_xlpm.lookupResult), _xlpm.lookupResult, "INVALID VALUE")
   )
)</f>
        <v>Empty Row</v>
      </c>
      <c r="F213" s="29" t="str">
        <f>IF(D213="Empty Row", "Empty Row",
   _xlfn.LET(
       _xlpm.lookupResult, _xlfn.XLOOKUP(D213, RawDataTable[Account Name and Number], RawDataTable[Investment Amount], "MISSING VALUE"),
       IF(ISNUMBER(_xlpm.lookupResult), _xlpm.lookupResult, "INVALID VALUE")
   )
)</f>
        <v>Empty Row</v>
      </c>
      <c r="G213" s="28" t="str">
        <f t="shared" ca="1" si="3"/>
        <v>Empty Row</v>
      </c>
      <c r="H213" s="29" t="str">
        <f>IF(D213="Empty Row", "Empty Row",
   _xlfn.LET(
       _xlpm.lookupResult, _xlfn.XLOOKUP(D213, RawDataTable[Account Name and Number], RawDataTable[Valuation Amount], "MISSING VALUE"),
       IF(ISNUMBER(_xlpm.lookupResult), _xlpm.lookupResult, "INVALID VALUE")
   )
)</f>
        <v>Empty Row</v>
      </c>
      <c r="I213" s="2" t="str">
        <f>IF(D213="Empty Row", "Empty Row", IF(_xlfn.XLOOKUP(B213, MasterTable[IRA Custodian], MasterTable[Address], "")="", "NO STREET NAME FOUND", _xlfn.XLOOKUP(B213, MasterTable[IRA Custodian], MasterTable[Address], "")))</f>
        <v>Empty Row</v>
      </c>
      <c r="J213" s="2" t="str">
        <f>IF(D213="Empty Row", "Empty Row",
   IF(OR(
       _xlfn.XLOOKUP(B213, MasterTable[IRA Custodian], MasterTable[City], "")="",
       _xlfn.XLOOKUP(B213, MasterTable[IRA Custodian], MasterTable[State], "")="",
       _xlfn.XLOOKUP(B213, MasterTable[IRA Custodian], MasterTable[Zip], "")=""),
       "INCOMPLETE ADDRESS",
       _xlfn.CONCAT(
           _xlfn.XLOOKUP(B213, MasterTable[IRA Custodian], MasterTable[City], ""), ", ",
           _xlfn.XLOOKUP(B213, MasterTable[IRA Custodian], MasterTable[State], ""), " ",
           _xlfn.XLOOKUP(B213, MasterTable[IRA Custodian], MasterTable[Zip], "")
       )
   )
)</f>
        <v>Empty Row</v>
      </c>
    </row>
    <row r="214" spans="1:10" x14ac:dyDescent="0.25">
      <c r="A214" t="str">
        <f>IF(D214="Empty Row", "Empty Row",
   _xlfn.LET(
       _xlpm.lookupResult, _xlfn.XLOOKUP(D214, RawDataTable[Account Name and Number], RawDataTable[Entity], "RAW DATA MISSING"),
       IF(ISBLANK(_xlpm.lookupResult), "RAW DATA MISSING", _xlpm.lookupResult)
   )
)</f>
        <v>Empty Row</v>
      </c>
      <c r="B214" t="str">
        <f>IF(D214="Empty Row", "Empty Row",
   _xlfn.LET(
       _xlpm.rawDataLookup, _xlfn.XLOOKUP(D214,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14" s="56" t="str" cm="1">
        <f t="array" ref="C214">IF(D214="Empty Row", "Empty Row",
   IF(COUNTIF('Name Mapping'!H:AD, D214) &gt; 0,
      INDEX('Name Mapping'!F:F, MATCH(TRUE, MMULT(--('Name Mapping'!H:AD=D214), TRANSPOSE(COLUMN('Name Mapping'!H:AD)^0)) &gt; 0, 0)),
      "")
)</f>
        <v>Empty Row</v>
      </c>
      <c r="D214" t="str">
        <f>IF(RawDataTable[[#This Row],[Account Name and Number]]&lt;&gt;"", RawDataTable[[#This Row],[Account Name and Number]], "Empty Row")</f>
        <v>Empty Row</v>
      </c>
      <c r="E214" s="28" t="str">
        <f>IF(D214="Empty Row", "Empty Row",
   _xlfn.LET(
       _xlpm.lookupResult, _xlfn.XLOOKUP(D214, RawDataTable[Account Name and Number], RawDataTable[Investment Date], "MISSING VALUE"),
       IF(ISNUMBER(_xlpm.lookupResult), _xlpm.lookupResult, "INVALID VALUE")
   )
)</f>
        <v>Empty Row</v>
      </c>
      <c r="F214" s="29" t="str">
        <f>IF(D214="Empty Row", "Empty Row",
   _xlfn.LET(
       _xlpm.lookupResult, _xlfn.XLOOKUP(D214, RawDataTable[Account Name and Number], RawDataTable[Investment Amount], "MISSING VALUE"),
       IF(ISNUMBER(_xlpm.lookupResult), _xlpm.lookupResult, "INVALID VALUE")
   )
)</f>
        <v>Empty Row</v>
      </c>
      <c r="G214" s="28" t="str">
        <f t="shared" ca="1" si="3"/>
        <v>Empty Row</v>
      </c>
      <c r="H214" s="29" t="str">
        <f>IF(D214="Empty Row", "Empty Row",
   _xlfn.LET(
       _xlpm.lookupResult, _xlfn.XLOOKUP(D214, RawDataTable[Account Name and Number], RawDataTable[Valuation Amount], "MISSING VALUE"),
       IF(ISNUMBER(_xlpm.lookupResult), _xlpm.lookupResult, "INVALID VALUE")
   )
)</f>
        <v>Empty Row</v>
      </c>
      <c r="I214" s="2" t="str">
        <f>IF(D214="Empty Row", "Empty Row", IF(_xlfn.XLOOKUP(B214, MasterTable[IRA Custodian], MasterTable[Address], "")="", "NO STREET NAME FOUND", _xlfn.XLOOKUP(B214, MasterTable[IRA Custodian], MasterTable[Address], "")))</f>
        <v>Empty Row</v>
      </c>
      <c r="J214" s="2" t="str">
        <f>IF(D214="Empty Row", "Empty Row",
   IF(OR(
       _xlfn.XLOOKUP(B214, MasterTable[IRA Custodian], MasterTable[City], "")="",
       _xlfn.XLOOKUP(B214, MasterTable[IRA Custodian], MasterTable[State], "")="",
       _xlfn.XLOOKUP(B214, MasterTable[IRA Custodian], MasterTable[Zip], "")=""),
       "INCOMPLETE ADDRESS",
       _xlfn.CONCAT(
           _xlfn.XLOOKUP(B214, MasterTable[IRA Custodian], MasterTable[City], ""), ", ",
           _xlfn.XLOOKUP(B214, MasterTable[IRA Custodian], MasterTable[State], ""), " ",
           _xlfn.XLOOKUP(B214, MasterTable[IRA Custodian], MasterTable[Zip], "")
       )
   )
)</f>
        <v>Empty Row</v>
      </c>
    </row>
    <row r="215" spans="1:10" x14ac:dyDescent="0.25">
      <c r="A215" t="str">
        <f>IF(D215="Empty Row", "Empty Row",
   _xlfn.LET(
       _xlpm.lookupResult, _xlfn.XLOOKUP(D215, RawDataTable[Account Name and Number], RawDataTable[Entity], "RAW DATA MISSING"),
       IF(ISBLANK(_xlpm.lookupResult), "RAW DATA MISSING", _xlpm.lookupResult)
   )
)</f>
        <v>Empty Row</v>
      </c>
      <c r="B215" t="str">
        <f>IF(D215="Empty Row", "Empty Row",
   _xlfn.LET(
       _xlpm.rawDataLookup, _xlfn.XLOOKUP(D215,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15" s="56" t="str" cm="1">
        <f t="array" ref="C215">IF(D215="Empty Row", "Empty Row",
   IF(COUNTIF('Name Mapping'!H:AD, D215) &gt; 0,
      INDEX('Name Mapping'!F:F, MATCH(TRUE, MMULT(--('Name Mapping'!H:AD=D215), TRANSPOSE(COLUMN('Name Mapping'!H:AD)^0)) &gt; 0, 0)),
      "")
)</f>
        <v>Empty Row</v>
      </c>
      <c r="D215" t="str">
        <f>IF(RawDataTable[[#This Row],[Account Name and Number]]&lt;&gt;"", RawDataTable[[#This Row],[Account Name and Number]], "Empty Row")</f>
        <v>Empty Row</v>
      </c>
      <c r="E215" s="28" t="str">
        <f>IF(D215="Empty Row", "Empty Row",
   _xlfn.LET(
       _xlpm.lookupResult, _xlfn.XLOOKUP(D215, RawDataTable[Account Name and Number], RawDataTable[Investment Date], "MISSING VALUE"),
       IF(ISNUMBER(_xlpm.lookupResult), _xlpm.lookupResult, "INVALID VALUE")
   )
)</f>
        <v>Empty Row</v>
      </c>
      <c r="F215" s="29" t="str">
        <f>IF(D215="Empty Row", "Empty Row",
   _xlfn.LET(
       _xlpm.lookupResult, _xlfn.XLOOKUP(D215, RawDataTable[Account Name and Number], RawDataTable[Investment Amount], "MISSING VALUE"),
       IF(ISNUMBER(_xlpm.lookupResult), _xlpm.lookupResult, "INVALID VALUE")
   )
)</f>
        <v>Empty Row</v>
      </c>
      <c r="G215" s="28" t="str">
        <f t="shared" ca="1" si="3"/>
        <v>Empty Row</v>
      </c>
      <c r="H215" s="29" t="str">
        <f>IF(D215="Empty Row", "Empty Row",
   _xlfn.LET(
       _xlpm.lookupResult, _xlfn.XLOOKUP(D215, RawDataTable[Account Name and Number], RawDataTable[Valuation Amount], "MISSING VALUE"),
       IF(ISNUMBER(_xlpm.lookupResult), _xlpm.lookupResult, "INVALID VALUE")
   )
)</f>
        <v>Empty Row</v>
      </c>
      <c r="I215" s="2" t="str">
        <f>IF(D215="Empty Row", "Empty Row", IF(_xlfn.XLOOKUP(B215, MasterTable[IRA Custodian], MasterTable[Address], "")="", "NO STREET NAME FOUND", _xlfn.XLOOKUP(B215, MasterTable[IRA Custodian], MasterTable[Address], "")))</f>
        <v>Empty Row</v>
      </c>
      <c r="J215" s="2" t="str">
        <f>IF(D215="Empty Row", "Empty Row",
   IF(OR(
       _xlfn.XLOOKUP(B215, MasterTable[IRA Custodian], MasterTable[City], "")="",
       _xlfn.XLOOKUP(B215, MasterTable[IRA Custodian], MasterTable[State], "")="",
       _xlfn.XLOOKUP(B215, MasterTable[IRA Custodian], MasterTable[Zip], "")=""),
       "INCOMPLETE ADDRESS",
       _xlfn.CONCAT(
           _xlfn.XLOOKUP(B215, MasterTable[IRA Custodian], MasterTable[City], ""), ", ",
           _xlfn.XLOOKUP(B215, MasterTable[IRA Custodian], MasterTable[State], ""), " ",
           _xlfn.XLOOKUP(B215, MasterTable[IRA Custodian], MasterTable[Zip], "")
       )
   )
)</f>
        <v>Empty Row</v>
      </c>
    </row>
    <row r="216" spans="1:10" x14ac:dyDescent="0.25">
      <c r="A216" t="str">
        <f>IF(D216="Empty Row", "Empty Row",
   _xlfn.LET(
       _xlpm.lookupResult, _xlfn.XLOOKUP(D216, RawDataTable[Account Name and Number], RawDataTable[Entity], "RAW DATA MISSING"),
       IF(ISBLANK(_xlpm.lookupResult), "RAW DATA MISSING", _xlpm.lookupResult)
   )
)</f>
        <v>Empty Row</v>
      </c>
      <c r="B216" t="str">
        <f>IF(D216="Empty Row", "Empty Row",
   _xlfn.LET(
       _xlpm.rawDataLookup, _xlfn.XLOOKUP(D216,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16" s="56" t="str" cm="1">
        <f t="array" ref="C216">IF(D216="Empty Row", "Empty Row",
   IF(COUNTIF('Name Mapping'!H:AD, D216) &gt; 0,
      INDEX('Name Mapping'!F:F, MATCH(TRUE, MMULT(--('Name Mapping'!H:AD=D216), TRANSPOSE(COLUMN('Name Mapping'!H:AD)^0)) &gt; 0, 0)),
      "")
)</f>
        <v>Empty Row</v>
      </c>
      <c r="D216" t="str">
        <f>IF(RawDataTable[[#This Row],[Account Name and Number]]&lt;&gt;"", RawDataTable[[#This Row],[Account Name and Number]], "Empty Row")</f>
        <v>Empty Row</v>
      </c>
      <c r="E216" s="28" t="str">
        <f>IF(D216="Empty Row", "Empty Row",
   _xlfn.LET(
       _xlpm.lookupResult, _xlfn.XLOOKUP(D216, RawDataTable[Account Name and Number], RawDataTable[Investment Date], "MISSING VALUE"),
       IF(ISNUMBER(_xlpm.lookupResult), _xlpm.lookupResult, "INVALID VALUE")
   )
)</f>
        <v>Empty Row</v>
      </c>
      <c r="F216" s="29" t="str">
        <f>IF(D216="Empty Row", "Empty Row",
   _xlfn.LET(
       _xlpm.lookupResult, _xlfn.XLOOKUP(D216, RawDataTable[Account Name and Number], RawDataTable[Investment Amount], "MISSING VALUE"),
       IF(ISNUMBER(_xlpm.lookupResult), _xlpm.lookupResult, "INVALID VALUE")
   )
)</f>
        <v>Empty Row</v>
      </c>
      <c r="G216" s="28" t="str">
        <f t="shared" ca="1" si="3"/>
        <v>Empty Row</v>
      </c>
      <c r="H216" s="29" t="str">
        <f>IF(D216="Empty Row", "Empty Row",
   _xlfn.LET(
       _xlpm.lookupResult, _xlfn.XLOOKUP(D216, RawDataTable[Account Name and Number], RawDataTable[Valuation Amount], "MISSING VALUE"),
       IF(ISNUMBER(_xlpm.lookupResult), _xlpm.lookupResult, "INVALID VALUE")
   )
)</f>
        <v>Empty Row</v>
      </c>
      <c r="I216" s="2" t="str">
        <f>IF(D216="Empty Row", "Empty Row", IF(_xlfn.XLOOKUP(B216, MasterTable[IRA Custodian], MasterTable[Address], "")="", "NO STREET NAME FOUND", _xlfn.XLOOKUP(B216, MasterTable[IRA Custodian], MasterTable[Address], "")))</f>
        <v>Empty Row</v>
      </c>
      <c r="J216" s="2" t="str">
        <f>IF(D216="Empty Row", "Empty Row",
   IF(OR(
       _xlfn.XLOOKUP(B216, MasterTable[IRA Custodian], MasterTable[City], "")="",
       _xlfn.XLOOKUP(B216, MasterTable[IRA Custodian], MasterTable[State], "")="",
       _xlfn.XLOOKUP(B216, MasterTable[IRA Custodian], MasterTable[Zip], "")=""),
       "INCOMPLETE ADDRESS",
       _xlfn.CONCAT(
           _xlfn.XLOOKUP(B216, MasterTable[IRA Custodian], MasterTable[City], ""), ", ",
           _xlfn.XLOOKUP(B216, MasterTable[IRA Custodian], MasterTable[State], ""), " ",
           _xlfn.XLOOKUP(B216, MasterTable[IRA Custodian], MasterTable[Zip], "")
       )
   )
)</f>
        <v>Empty Row</v>
      </c>
    </row>
    <row r="217" spans="1:10" x14ac:dyDescent="0.25">
      <c r="A217" t="str">
        <f>IF(D217="Empty Row", "Empty Row",
   _xlfn.LET(
       _xlpm.lookupResult, _xlfn.XLOOKUP(D217, RawDataTable[Account Name and Number], RawDataTable[Entity], "RAW DATA MISSING"),
       IF(ISBLANK(_xlpm.lookupResult), "RAW DATA MISSING", _xlpm.lookupResult)
   )
)</f>
        <v>Empty Row</v>
      </c>
      <c r="B217" t="str">
        <f>IF(D217="Empty Row", "Empty Row",
   _xlfn.LET(
       _xlpm.rawDataLookup, _xlfn.XLOOKUP(D217,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17" s="56" t="str" cm="1">
        <f t="array" ref="C217">IF(D217="Empty Row", "Empty Row",
   IF(COUNTIF('Name Mapping'!H:AD, D217) &gt; 0,
      INDEX('Name Mapping'!F:F, MATCH(TRUE, MMULT(--('Name Mapping'!H:AD=D217), TRANSPOSE(COLUMN('Name Mapping'!H:AD)^0)) &gt; 0, 0)),
      "")
)</f>
        <v>Empty Row</v>
      </c>
      <c r="D217" t="str">
        <f>IF(RawDataTable[[#This Row],[Account Name and Number]]&lt;&gt;"", RawDataTable[[#This Row],[Account Name and Number]], "Empty Row")</f>
        <v>Empty Row</v>
      </c>
      <c r="E217" s="28" t="str">
        <f>IF(D217="Empty Row", "Empty Row",
   _xlfn.LET(
       _xlpm.lookupResult, _xlfn.XLOOKUP(D217, RawDataTable[Account Name and Number], RawDataTable[Investment Date], "MISSING VALUE"),
       IF(ISNUMBER(_xlpm.lookupResult), _xlpm.lookupResult, "INVALID VALUE")
   )
)</f>
        <v>Empty Row</v>
      </c>
      <c r="F217" s="29" t="str">
        <f>IF(D217="Empty Row", "Empty Row",
   _xlfn.LET(
       _xlpm.lookupResult, _xlfn.XLOOKUP(D217, RawDataTable[Account Name and Number], RawDataTable[Investment Amount], "MISSING VALUE"),
       IF(ISNUMBER(_xlpm.lookupResult), _xlpm.lookupResult, "INVALID VALUE")
   )
)</f>
        <v>Empty Row</v>
      </c>
      <c r="G217" s="28" t="str">
        <f t="shared" ca="1" si="3"/>
        <v>Empty Row</v>
      </c>
      <c r="H217" s="29" t="str">
        <f>IF(D217="Empty Row", "Empty Row",
   _xlfn.LET(
       _xlpm.lookupResult, _xlfn.XLOOKUP(D217, RawDataTable[Account Name and Number], RawDataTable[Valuation Amount], "MISSING VALUE"),
       IF(ISNUMBER(_xlpm.lookupResult), _xlpm.lookupResult, "INVALID VALUE")
   )
)</f>
        <v>Empty Row</v>
      </c>
      <c r="I217" s="2" t="str">
        <f>IF(D217="Empty Row", "Empty Row", IF(_xlfn.XLOOKUP(B217, MasterTable[IRA Custodian], MasterTable[Address], "")="", "NO STREET NAME FOUND", _xlfn.XLOOKUP(B217, MasterTable[IRA Custodian], MasterTable[Address], "")))</f>
        <v>Empty Row</v>
      </c>
      <c r="J217" s="2" t="str">
        <f>IF(D217="Empty Row", "Empty Row",
   IF(OR(
       _xlfn.XLOOKUP(B217, MasterTable[IRA Custodian], MasterTable[City], "")="",
       _xlfn.XLOOKUP(B217, MasterTable[IRA Custodian], MasterTable[State], "")="",
       _xlfn.XLOOKUP(B217, MasterTable[IRA Custodian], MasterTable[Zip], "")=""),
       "INCOMPLETE ADDRESS",
       _xlfn.CONCAT(
           _xlfn.XLOOKUP(B217, MasterTable[IRA Custodian], MasterTable[City], ""), ", ",
           _xlfn.XLOOKUP(B217, MasterTable[IRA Custodian], MasterTable[State], ""), " ",
           _xlfn.XLOOKUP(B217, MasterTable[IRA Custodian], MasterTable[Zip], "")
       )
   )
)</f>
        <v>Empty Row</v>
      </c>
    </row>
    <row r="218" spans="1:10" x14ac:dyDescent="0.25">
      <c r="A218" t="str">
        <f>IF(D218="Empty Row", "Empty Row",
   _xlfn.LET(
       _xlpm.lookupResult, _xlfn.XLOOKUP(D218, RawDataTable[Account Name and Number], RawDataTable[Entity], "RAW DATA MISSING"),
       IF(ISBLANK(_xlpm.lookupResult), "RAW DATA MISSING", _xlpm.lookupResult)
   )
)</f>
        <v>Empty Row</v>
      </c>
      <c r="B218" t="str">
        <f>IF(D218="Empty Row", "Empty Row",
   _xlfn.LET(
       _xlpm.rawDataLookup, _xlfn.XLOOKUP(D218,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18" s="56" t="str" cm="1">
        <f t="array" ref="C218">IF(D218="Empty Row", "Empty Row",
   IF(COUNTIF('Name Mapping'!H:AD, D218) &gt; 0,
      INDEX('Name Mapping'!F:F, MATCH(TRUE, MMULT(--('Name Mapping'!H:AD=D218), TRANSPOSE(COLUMN('Name Mapping'!H:AD)^0)) &gt; 0, 0)),
      "")
)</f>
        <v>Empty Row</v>
      </c>
      <c r="D218" t="str">
        <f>IF(RawDataTable[[#This Row],[Account Name and Number]]&lt;&gt;"", RawDataTable[[#This Row],[Account Name and Number]], "Empty Row")</f>
        <v>Empty Row</v>
      </c>
      <c r="E218" s="28" t="str">
        <f>IF(D218="Empty Row", "Empty Row",
   _xlfn.LET(
       _xlpm.lookupResult, _xlfn.XLOOKUP(D218, RawDataTable[Account Name and Number], RawDataTable[Investment Date], "MISSING VALUE"),
       IF(ISNUMBER(_xlpm.lookupResult), _xlpm.lookupResult, "INVALID VALUE")
   )
)</f>
        <v>Empty Row</v>
      </c>
      <c r="F218" s="29" t="str">
        <f>IF(D218="Empty Row", "Empty Row",
   _xlfn.LET(
       _xlpm.lookupResult, _xlfn.XLOOKUP(D218, RawDataTable[Account Name and Number], RawDataTable[Investment Amount], "MISSING VALUE"),
       IF(ISNUMBER(_xlpm.lookupResult), _xlpm.lookupResult, "INVALID VALUE")
   )
)</f>
        <v>Empty Row</v>
      </c>
      <c r="G218" s="28" t="str">
        <f t="shared" ca="1" si="3"/>
        <v>Empty Row</v>
      </c>
      <c r="H218" s="29" t="str">
        <f>IF(D218="Empty Row", "Empty Row",
   _xlfn.LET(
       _xlpm.lookupResult, _xlfn.XLOOKUP(D218, RawDataTable[Account Name and Number], RawDataTable[Valuation Amount], "MISSING VALUE"),
       IF(ISNUMBER(_xlpm.lookupResult), _xlpm.lookupResult, "INVALID VALUE")
   )
)</f>
        <v>Empty Row</v>
      </c>
      <c r="I218" s="2" t="str">
        <f>IF(D218="Empty Row", "Empty Row", IF(_xlfn.XLOOKUP(B218, MasterTable[IRA Custodian], MasterTable[Address], "")="", "NO STREET NAME FOUND", _xlfn.XLOOKUP(B218, MasterTable[IRA Custodian], MasterTable[Address], "")))</f>
        <v>Empty Row</v>
      </c>
      <c r="J218" s="2" t="str">
        <f>IF(D218="Empty Row", "Empty Row",
   IF(OR(
       _xlfn.XLOOKUP(B218, MasterTable[IRA Custodian], MasterTable[City], "")="",
       _xlfn.XLOOKUP(B218, MasterTable[IRA Custodian], MasterTable[State], "")="",
       _xlfn.XLOOKUP(B218, MasterTable[IRA Custodian], MasterTable[Zip], "")=""),
       "INCOMPLETE ADDRESS",
       _xlfn.CONCAT(
           _xlfn.XLOOKUP(B218, MasterTable[IRA Custodian], MasterTable[City], ""), ", ",
           _xlfn.XLOOKUP(B218, MasterTable[IRA Custodian], MasterTable[State], ""), " ",
           _xlfn.XLOOKUP(B218, MasterTable[IRA Custodian], MasterTable[Zip], "")
       )
   )
)</f>
        <v>Empty Row</v>
      </c>
    </row>
    <row r="219" spans="1:10" x14ac:dyDescent="0.25">
      <c r="A219" t="str">
        <f>IF(D219="Empty Row", "Empty Row",
   _xlfn.LET(
       _xlpm.lookupResult, _xlfn.XLOOKUP(D219, RawDataTable[Account Name and Number], RawDataTable[Entity], "RAW DATA MISSING"),
       IF(ISBLANK(_xlpm.lookupResult), "RAW DATA MISSING", _xlpm.lookupResult)
   )
)</f>
        <v>Empty Row</v>
      </c>
      <c r="B219" t="str">
        <f>IF(D219="Empty Row", "Empty Row",
   _xlfn.LET(
       _xlpm.rawDataLookup, _xlfn.XLOOKUP(D219,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19" s="56" t="str" cm="1">
        <f t="array" ref="C219">IF(D219="Empty Row", "Empty Row",
   IF(COUNTIF('Name Mapping'!H:AD, D219) &gt; 0,
      INDEX('Name Mapping'!F:F, MATCH(TRUE, MMULT(--('Name Mapping'!H:AD=D219), TRANSPOSE(COLUMN('Name Mapping'!H:AD)^0)) &gt; 0, 0)),
      "")
)</f>
        <v>Empty Row</v>
      </c>
      <c r="D219" t="str">
        <f>IF(RawDataTable[[#This Row],[Account Name and Number]]&lt;&gt;"", RawDataTable[[#This Row],[Account Name and Number]], "Empty Row")</f>
        <v>Empty Row</v>
      </c>
      <c r="E219" s="28" t="str">
        <f>IF(D219="Empty Row", "Empty Row",
   _xlfn.LET(
       _xlpm.lookupResult, _xlfn.XLOOKUP(D219, RawDataTable[Account Name and Number], RawDataTable[Investment Date], "MISSING VALUE"),
       IF(ISNUMBER(_xlpm.lookupResult), _xlpm.lookupResult, "INVALID VALUE")
   )
)</f>
        <v>Empty Row</v>
      </c>
      <c r="F219" s="29" t="str">
        <f>IF(D219="Empty Row", "Empty Row",
   _xlfn.LET(
       _xlpm.lookupResult, _xlfn.XLOOKUP(D219, RawDataTable[Account Name and Number], RawDataTable[Investment Amount], "MISSING VALUE"),
       IF(ISNUMBER(_xlpm.lookupResult), _xlpm.lookupResult, "INVALID VALUE")
   )
)</f>
        <v>Empty Row</v>
      </c>
      <c r="G219" s="28" t="str">
        <f t="shared" ca="1" si="3"/>
        <v>Empty Row</v>
      </c>
      <c r="H219" s="29" t="str">
        <f>IF(D219="Empty Row", "Empty Row",
   _xlfn.LET(
       _xlpm.lookupResult, _xlfn.XLOOKUP(D219, RawDataTable[Account Name and Number], RawDataTable[Valuation Amount], "MISSING VALUE"),
       IF(ISNUMBER(_xlpm.lookupResult), _xlpm.lookupResult, "INVALID VALUE")
   )
)</f>
        <v>Empty Row</v>
      </c>
      <c r="I219" s="2" t="str">
        <f>IF(D219="Empty Row", "Empty Row", IF(_xlfn.XLOOKUP(B219, MasterTable[IRA Custodian], MasterTable[Address], "")="", "NO STREET NAME FOUND", _xlfn.XLOOKUP(B219, MasterTable[IRA Custodian], MasterTable[Address], "")))</f>
        <v>Empty Row</v>
      </c>
      <c r="J219" s="2" t="str">
        <f>IF(D219="Empty Row", "Empty Row",
   IF(OR(
       _xlfn.XLOOKUP(B219, MasterTable[IRA Custodian], MasterTable[City], "")="",
       _xlfn.XLOOKUP(B219, MasterTable[IRA Custodian], MasterTable[State], "")="",
       _xlfn.XLOOKUP(B219, MasterTable[IRA Custodian], MasterTable[Zip], "")=""),
       "INCOMPLETE ADDRESS",
       _xlfn.CONCAT(
           _xlfn.XLOOKUP(B219, MasterTable[IRA Custodian], MasterTable[City], ""), ", ",
           _xlfn.XLOOKUP(B219, MasterTable[IRA Custodian], MasterTable[State], ""), " ",
           _xlfn.XLOOKUP(B219, MasterTable[IRA Custodian], MasterTable[Zip], "")
       )
   )
)</f>
        <v>Empty Row</v>
      </c>
    </row>
    <row r="220" spans="1:10" x14ac:dyDescent="0.25">
      <c r="A220" t="str">
        <f>IF(D220="Empty Row", "Empty Row",
   _xlfn.LET(
       _xlpm.lookupResult, _xlfn.XLOOKUP(D220, RawDataTable[Account Name and Number], RawDataTable[Entity], "RAW DATA MISSING"),
       IF(ISBLANK(_xlpm.lookupResult), "RAW DATA MISSING", _xlpm.lookupResult)
   )
)</f>
        <v>Empty Row</v>
      </c>
      <c r="B220" t="str">
        <f>IF(D220="Empty Row", "Empty Row",
   _xlfn.LET(
       _xlpm.rawDataLookup, _xlfn.XLOOKUP(D220,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20" s="56" t="str" cm="1">
        <f t="array" ref="C220">IF(D220="Empty Row", "Empty Row",
   IF(COUNTIF('Name Mapping'!H:AD, D220) &gt; 0,
      INDEX('Name Mapping'!F:F, MATCH(TRUE, MMULT(--('Name Mapping'!H:AD=D220), TRANSPOSE(COLUMN('Name Mapping'!H:AD)^0)) &gt; 0, 0)),
      "")
)</f>
        <v>Empty Row</v>
      </c>
      <c r="D220" t="str">
        <f>IF(RawDataTable[[#This Row],[Account Name and Number]]&lt;&gt;"", RawDataTable[[#This Row],[Account Name and Number]], "Empty Row")</f>
        <v>Empty Row</v>
      </c>
      <c r="E220" s="28" t="str">
        <f>IF(D220="Empty Row", "Empty Row",
   _xlfn.LET(
       _xlpm.lookupResult, _xlfn.XLOOKUP(D220, RawDataTable[Account Name and Number], RawDataTable[Investment Date], "MISSING VALUE"),
       IF(ISNUMBER(_xlpm.lookupResult), _xlpm.lookupResult, "INVALID VALUE")
   )
)</f>
        <v>Empty Row</v>
      </c>
      <c r="F220" s="29" t="str">
        <f>IF(D220="Empty Row", "Empty Row",
   _xlfn.LET(
       _xlpm.lookupResult, _xlfn.XLOOKUP(D220, RawDataTable[Account Name and Number], RawDataTable[Investment Amount], "MISSING VALUE"),
       IF(ISNUMBER(_xlpm.lookupResult), _xlpm.lookupResult, "INVALID VALUE")
   )
)</f>
        <v>Empty Row</v>
      </c>
      <c r="G220" s="28" t="str">
        <f t="shared" ca="1" si="3"/>
        <v>Empty Row</v>
      </c>
      <c r="H220" s="29" t="str">
        <f>IF(D220="Empty Row", "Empty Row",
   _xlfn.LET(
       _xlpm.lookupResult, _xlfn.XLOOKUP(D220, RawDataTable[Account Name and Number], RawDataTable[Valuation Amount], "MISSING VALUE"),
       IF(ISNUMBER(_xlpm.lookupResult), _xlpm.lookupResult, "INVALID VALUE")
   )
)</f>
        <v>Empty Row</v>
      </c>
      <c r="I220" s="2" t="str">
        <f>IF(D220="Empty Row", "Empty Row", IF(_xlfn.XLOOKUP(B220, MasterTable[IRA Custodian], MasterTable[Address], "")="", "NO STREET NAME FOUND", _xlfn.XLOOKUP(B220, MasterTable[IRA Custodian], MasterTable[Address], "")))</f>
        <v>Empty Row</v>
      </c>
      <c r="J220" s="2" t="str">
        <f>IF(D220="Empty Row", "Empty Row",
   IF(OR(
       _xlfn.XLOOKUP(B220, MasterTable[IRA Custodian], MasterTable[City], "")="",
       _xlfn.XLOOKUP(B220, MasterTable[IRA Custodian], MasterTable[State], "")="",
       _xlfn.XLOOKUP(B220, MasterTable[IRA Custodian], MasterTable[Zip], "")=""),
       "INCOMPLETE ADDRESS",
       _xlfn.CONCAT(
           _xlfn.XLOOKUP(B220, MasterTable[IRA Custodian], MasterTable[City], ""), ", ",
           _xlfn.XLOOKUP(B220, MasterTable[IRA Custodian], MasterTable[State], ""), " ",
           _xlfn.XLOOKUP(B220, MasterTable[IRA Custodian], MasterTable[Zip], "")
       )
   )
)</f>
        <v>Empty Row</v>
      </c>
    </row>
    <row r="221" spans="1:10" x14ac:dyDescent="0.25">
      <c r="A221" t="str">
        <f>IF(D221="Empty Row", "Empty Row",
   _xlfn.LET(
       _xlpm.lookupResult, _xlfn.XLOOKUP(D221, RawDataTable[Account Name and Number], RawDataTable[Entity], "RAW DATA MISSING"),
       IF(ISBLANK(_xlpm.lookupResult), "RAW DATA MISSING", _xlpm.lookupResult)
   )
)</f>
        <v>Empty Row</v>
      </c>
      <c r="B221" t="str">
        <f>IF(D221="Empty Row", "Empty Row",
   _xlfn.LET(
       _xlpm.rawDataLookup, _xlfn.XLOOKUP(D221,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21" s="56" t="str" cm="1">
        <f t="array" ref="C221">IF(D221="Empty Row", "Empty Row",
   IF(COUNTIF('Name Mapping'!H:AD, D221) &gt; 0,
      INDEX('Name Mapping'!F:F, MATCH(TRUE, MMULT(--('Name Mapping'!H:AD=D221), TRANSPOSE(COLUMN('Name Mapping'!H:AD)^0)) &gt; 0, 0)),
      "")
)</f>
        <v>Empty Row</v>
      </c>
      <c r="D221" t="str">
        <f>IF(RawDataTable[[#This Row],[Account Name and Number]]&lt;&gt;"", RawDataTable[[#This Row],[Account Name and Number]], "Empty Row")</f>
        <v>Empty Row</v>
      </c>
      <c r="E221" s="28" t="str">
        <f>IF(D221="Empty Row", "Empty Row",
   _xlfn.LET(
       _xlpm.lookupResult, _xlfn.XLOOKUP(D221, RawDataTable[Account Name and Number], RawDataTable[Investment Date], "MISSING VALUE"),
       IF(ISNUMBER(_xlpm.lookupResult), _xlpm.lookupResult, "INVALID VALUE")
   )
)</f>
        <v>Empty Row</v>
      </c>
      <c r="F221" s="29" t="str">
        <f>IF(D221="Empty Row", "Empty Row",
   _xlfn.LET(
       _xlpm.lookupResult, _xlfn.XLOOKUP(D221, RawDataTable[Account Name and Number], RawDataTable[Investment Amount], "MISSING VALUE"),
       IF(ISNUMBER(_xlpm.lookupResult), _xlpm.lookupResult, "INVALID VALUE")
   )
)</f>
        <v>Empty Row</v>
      </c>
      <c r="G221" s="28" t="str">
        <f t="shared" ca="1" si="3"/>
        <v>Empty Row</v>
      </c>
      <c r="H221" s="29" t="str">
        <f>IF(D221="Empty Row", "Empty Row",
   _xlfn.LET(
       _xlpm.lookupResult, _xlfn.XLOOKUP(D221, RawDataTable[Account Name and Number], RawDataTable[Valuation Amount], "MISSING VALUE"),
       IF(ISNUMBER(_xlpm.lookupResult), _xlpm.lookupResult, "INVALID VALUE")
   )
)</f>
        <v>Empty Row</v>
      </c>
      <c r="I221" s="2" t="str">
        <f>IF(D221="Empty Row", "Empty Row", IF(_xlfn.XLOOKUP(B221, MasterTable[IRA Custodian], MasterTable[Address], "")="", "NO STREET NAME FOUND", _xlfn.XLOOKUP(B221, MasterTable[IRA Custodian], MasterTable[Address], "")))</f>
        <v>Empty Row</v>
      </c>
      <c r="J221" s="2" t="str">
        <f>IF(D221="Empty Row", "Empty Row",
   IF(OR(
       _xlfn.XLOOKUP(B221, MasterTable[IRA Custodian], MasterTable[City], "")="",
       _xlfn.XLOOKUP(B221, MasterTable[IRA Custodian], MasterTable[State], "")="",
       _xlfn.XLOOKUP(B221, MasterTable[IRA Custodian], MasterTable[Zip], "")=""),
       "INCOMPLETE ADDRESS",
       _xlfn.CONCAT(
           _xlfn.XLOOKUP(B221, MasterTable[IRA Custodian], MasterTable[City], ""), ", ",
           _xlfn.XLOOKUP(B221, MasterTable[IRA Custodian], MasterTable[State], ""), " ",
           _xlfn.XLOOKUP(B221, MasterTable[IRA Custodian], MasterTable[Zip], "")
       )
   )
)</f>
        <v>Empty Row</v>
      </c>
    </row>
    <row r="222" spans="1:10" x14ac:dyDescent="0.25">
      <c r="A222" t="str">
        <f>IF(D222="Empty Row", "Empty Row",
   _xlfn.LET(
       _xlpm.lookupResult, _xlfn.XLOOKUP(D222, RawDataTable[Account Name and Number], RawDataTable[Entity], "RAW DATA MISSING"),
       IF(ISBLANK(_xlpm.lookupResult), "RAW DATA MISSING", _xlpm.lookupResult)
   )
)</f>
        <v>Empty Row</v>
      </c>
      <c r="B222" t="str">
        <f>IF(D222="Empty Row", "Empty Row",
   _xlfn.LET(
       _xlpm.rawDataLookup, _xlfn.XLOOKUP(D222,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22" s="56" t="str" cm="1">
        <f t="array" ref="C222">IF(D222="Empty Row", "Empty Row",
   IF(COUNTIF('Name Mapping'!H:AD, D222) &gt; 0,
      INDEX('Name Mapping'!F:F, MATCH(TRUE, MMULT(--('Name Mapping'!H:AD=D222), TRANSPOSE(COLUMN('Name Mapping'!H:AD)^0)) &gt; 0, 0)),
      "")
)</f>
        <v>Empty Row</v>
      </c>
      <c r="D222" t="str">
        <f>IF(RawDataTable[[#This Row],[Account Name and Number]]&lt;&gt;"", RawDataTable[[#This Row],[Account Name and Number]], "Empty Row")</f>
        <v>Empty Row</v>
      </c>
      <c r="E222" s="28" t="str">
        <f>IF(D222="Empty Row", "Empty Row",
   _xlfn.LET(
       _xlpm.lookupResult, _xlfn.XLOOKUP(D222, RawDataTable[Account Name and Number], RawDataTable[Investment Date], "MISSING VALUE"),
       IF(ISNUMBER(_xlpm.lookupResult), _xlpm.lookupResult, "INVALID VALUE")
   )
)</f>
        <v>Empty Row</v>
      </c>
      <c r="F222" s="29" t="str">
        <f>IF(D222="Empty Row", "Empty Row",
   _xlfn.LET(
       _xlpm.lookupResult, _xlfn.XLOOKUP(D222, RawDataTable[Account Name and Number], RawDataTable[Investment Amount], "MISSING VALUE"),
       IF(ISNUMBER(_xlpm.lookupResult), _xlpm.lookupResult, "INVALID VALUE")
   )
)</f>
        <v>Empty Row</v>
      </c>
      <c r="G222" s="28" t="str">
        <f t="shared" ca="1" si="3"/>
        <v>Empty Row</v>
      </c>
      <c r="H222" s="29" t="str">
        <f>IF(D222="Empty Row", "Empty Row",
   _xlfn.LET(
       _xlpm.lookupResult, _xlfn.XLOOKUP(D222, RawDataTable[Account Name and Number], RawDataTable[Valuation Amount], "MISSING VALUE"),
       IF(ISNUMBER(_xlpm.lookupResult), _xlpm.lookupResult, "INVALID VALUE")
   )
)</f>
        <v>Empty Row</v>
      </c>
      <c r="I222" s="2" t="str">
        <f>IF(D222="Empty Row", "Empty Row", IF(_xlfn.XLOOKUP(B222, MasterTable[IRA Custodian], MasterTable[Address], "")="", "NO STREET NAME FOUND", _xlfn.XLOOKUP(B222, MasterTable[IRA Custodian], MasterTable[Address], "")))</f>
        <v>Empty Row</v>
      </c>
      <c r="J222" s="2" t="str">
        <f>IF(D222="Empty Row", "Empty Row",
   IF(OR(
       _xlfn.XLOOKUP(B222, MasterTable[IRA Custodian], MasterTable[City], "")="",
       _xlfn.XLOOKUP(B222, MasterTable[IRA Custodian], MasterTable[State], "")="",
       _xlfn.XLOOKUP(B222, MasterTable[IRA Custodian], MasterTable[Zip], "")=""),
       "INCOMPLETE ADDRESS",
       _xlfn.CONCAT(
           _xlfn.XLOOKUP(B222, MasterTable[IRA Custodian], MasterTable[City], ""), ", ",
           _xlfn.XLOOKUP(B222, MasterTable[IRA Custodian], MasterTable[State], ""), " ",
           _xlfn.XLOOKUP(B222, MasterTable[IRA Custodian], MasterTable[Zip], "")
       )
   )
)</f>
        <v>Empty Row</v>
      </c>
    </row>
    <row r="223" spans="1:10" x14ac:dyDescent="0.25">
      <c r="A223" t="str">
        <f>IF(D223="Empty Row", "Empty Row",
   _xlfn.LET(
       _xlpm.lookupResult, _xlfn.XLOOKUP(D223, RawDataTable[Account Name and Number], RawDataTable[Entity], "RAW DATA MISSING"),
       IF(ISBLANK(_xlpm.lookupResult), "RAW DATA MISSING", _xlpm.lookupResult)
   )
)</f>
        <v>Empty Row</v>
      </c>
      <c r="B223" t="str">
        <f>IF(D223="Empty Row", "Empty Row",
   _xlfn.LET(
       _xlpm.rawDataLookup, _xlfn.XLOOKUP(D223,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23" s="56" t="str" cm="1">
        <f t="array" ref="C223">IF(D223="Empty Row", "Empty Row",
   IF(COUNTIF('Name Mapping'!H:AD, D223) &gt; 0,
      INDEX('Name Mapping'!F:F, MATCH(TRUE, MMULT(--('Name Mapping'!H:AD=D223), TRANSPOSE(COLUMN('Name Mapping'!H:AD)^0)) &gt; 0, 0)),
      "")
)</f>
        <v>Empty Row</v>
      </c>
      <c r="D223" t="str">
        <f>IF(RawDataTable[[#This Row],[Account Name and Number]]&lt;&gt;"", RawDataTable[[#This Row],[Account Name and Number]], "Empty Row")</f>
        <v>Empty Row</v>
      </c>
      <c r="E223" s="28" t="str">
        <f>IF(D223="Empty Row", "Empty Row",
   _xlfn.LET(
       _xlpm.lookupResult, _xlfn.XLOOKUP(D223, RawDataTable[Account Name and Number], RawDataTable[Investment Date], "MISSING VALUE"),
       IF(ISNUMBER(_xlpm.lookupResult), _xlpm.lookupResult, "INVALID VALUE")
   )
)</f>
        <v>Empty Row</v>
      </c>
      <c r="F223" s="29" t="str">
        <f>IF(D223="Empty Row", "Empty Row",
   _xlfn.LET(
       _xlpm.lookupResult, _xlfn.XLOOKUP(D223, RawDataTable[Account Name and Number], RawDataTable[Investment Amount], "MISSING VALUE"),
       IF(ISNUMBER(_xlpm.lookupResult), _xlpm.lookupResult, "INVALID VALUE")
   )
)</f>
        <v>Empty Row</v>
      </c>
      <c r="G223" s="28" t="str">
        <f t="shared" ca="1" si="3"/>
        <v>Empty Row</v>
      </c>
      <c r="H223" s="29" t="str">
        <f>IF(D223="Empty Row", "Empty Row",
   _xlfn.LET(
       _xlpm.lookupResult, _xlfn.XLOOKUP(D223, RawDataTable[Account Name and Number], RawDataTable[Valuation Amount], "MISSING VALUE"),
       IF(ISNUMBER(_xlpm.lookupResult), _xlpm.lookupResult, "INVALID VALUE")
   )
)</f>
        <v>Empty Row</v>
      </c>
      <c r="I223" s="2" t="str">
        <f>IF(D223="Empty Row", "Empty Row", IF(_xlfn.XLOOKUP(B223, MasterTable[IRA Custodian], MasterTable[Address], "")="", "NO STREET NAME FOUND", _xlfn.XLOOKUP(B223, MasterTable[IRA Custodian], MasterTable[Address], "")))</f>
        <v>Empty Row</v>
      </c>
      <c r="J223" s="2" t="str">
        <f>IF(D223="Empty Row", "Empty Row",
   IF(OR(
       _xlfn.XLOOKUP(B223, MasterTable[IRA Custodian], MasterTable[City], "")="",
       _xlfn.XLOOKUP(B223, MasterTable[IRA Custodian], MasterTable[State], "")="",
       _xlfn.XLOOKUP(B223, MasterTable[IRA Custodian], MasterTable[Zip], "")=""),
       "INCOMPLETE ADDRESS",
       _xlfn.CONCAT(
           _xlfn.XLOOKUP(B223, MasterTable[IRA Custodian], MasterTable[City], ""), ", ",
           _xlfn.XLOOKUP(B223, MasterTable[IRA Custodian], MasterTable[State], ""), " ",
           _xlfn.XLOOKUP(B223, MasterTable[IRA Custodian], MasterTable[Zip], "")
       )
   )
)</f>
        <v>Empty Row</v>
      </c>
    </row>
    <row r="224" spans="1:10" x14ac:dyDescent="0.25">
      <c r="A224" t="str">
        <f>IF(D224="Empty Row", "Empty Row",
   _xlfn.LET(
       _xlpm.lookupResult, _xlfn.XLOOKUP(D224, RawDataTable[Account Name and Number], RawDataTable[Entity], "RAW DATA MISSING"),
       IF(ISBLANK(_xlpm.lookupResult), "RAW DATA MISSING", _xlpm.lookupResult)
   )
)</f>
        <v>Empty Row</v>
      </c>
      <c r="B224" t="str">
        <f>IF(D224="Empty Row", "Empty Row",
   _xlfn.LET(
       _xlpm.rawDataLookup, _xlfn.XLOOKUP(D224,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24" s="56" t="str" cm="1">
        <f t="array" ref="C224">IF(D224="Empty Row", "Empty Row",
   IF(COUNTIF('Name Mapping'!H:AD, D224) &gt; 0,
      INDEX('Name Mapping'!F:F, MATCH(TRUE, MMULT(--('Name Mapping'!H:AD=D224), TRANSPOSE(COLUMN('Name Mapping'!H:AD)^0)) &gt; 0, 0)),
      "")
)</f>
        <v>Empty Row</v>
      </c>
      <c r="D224" t="str">
        <f>IF(RawDataTable[[#This Row],[Account Name and Number]]&lt;&gt;"", RawDataTable[[#This Row],[Account Name and Number]], "Empty Row")</f>
        <v>Empty Row</v>
      </c>
      <c r="E224" s="28" t="str">
        <f>IF(D224="Empty Row", "Empty Row",
   _xlfn.LET(
       _xlpm.lookupResult, _xlfn.XLOOKUP(D224, RawDataTable[Account Name and Number], RawDataTable[Investment Date], "MISSING VALUE"),
       IF(ISNUMBER(_xlpm.lookupResult), _xlpm.lookupResult, "INVALID VALUE")
   )
)</f>
        <v>Empty Row</v>
      </c>
      <c r="F224" s="29" t="str">
        <f>IF(D224="Empty Row", "Empty Row",
   _xlfn.LET(
       _xlpm.lookupResult, _xlfn.XLOOKUP(D224, RawDataTable[Account Name and Number], RawDataTable[Investment Amount], "MISSING VALUE"),
       IF(ISNUMBER(_xlpm.lookupResult), _xlpm.lookupResult, "INVALID VALUE")
   )
)</f>
        <v>Empty Row</v>
      </c>
      <c r="G224" s="28" t="str">
        <f t="shared" ca="1" si="3"/>
        <v>Empty Row</v>
      </c>
      <c r="H224" s="29" t="str">
        <f>IF(D224="Empty Row", "Empty Row",
   _xlfn.LET(
       _xlpm.lookupResult, _xlfn.XLOOKUP(D224, RawDataTable[Account Name and Number], RawDataTable[Valuation Amount], "MISSING VALUE"),
       IF(ISNUMBER(_xlpm.lookupResult), _xlpm.lookupResult, "INVALID VALUE")
   )
)</f>
        <v>Empty Row</v>
      </c>
      <c r="I224" s="2" t="str">
        <f>IF(D224="Empty Row", "Empty Row", IF(_xlfn.XLOOKUP(B224, MasterTable[IRA Custodian], MasterTable[Address], "")="", "NO STREET NAME FOUND", _xlfn.XLOOKUP(B224, MasterTable[IRA Custodian], MasterTable[Address], "")))</f>
        <v>Empty Row</v>
      </c>
      <c r="J224" s="2" t="str">
        <f>IF(D224="Empty Row", "Empty Row",
   IF(OR(
       _xlfn.XLOOKUP(B224, MasterTable[IRA Custodian], MasterTable[City], "")="",
       _xlfn.XLOOKUP(B224, MasterTable[IRA Custodian], MasterTable[State], "")="",
       _xlfn.XLOOKUP(B224, MasterTable[IRA Custodian], MasterTable[Zip], "")=""),
       "INCOMPLETE ADDRESS",
       _xlfn.CONCAT(
           _xlfn.XLOOKUP(B224, MasterTable[IRA Custodian], MasterTable[City], ""), ", ",
           _xlfn.XLOOKUP(B224, MasterTable[IRA Custodian], MasterTable[State], ""), " ",
           _xlfn.XLOOKUP(B224, MasterTable[IRA Custodian], MasterTable[Zip], "")
       )
   )
)</f>
        <v>Empty Row</v>
      </c>
    </row>
    <row r="225" spans="1:10" x14ac:dyDescent="0.25">
      <c r="A225" t="str">
        <f>IF(D225="Empty Row", "Empty Row",
   _xlfn.LET(
       _xlpm.lookupResult, _xlfn.XLOOKUP(D225, RawDataTable[Account Name and Number], RawDataTable[Entity], "RAW DATA MISSING"),
       IF(ISBLANK(_xlpm.lookupResult), "RAW DATA MISSING", _xlpm.lookupResult)
   )
)</f>
        <v>Empty Row</v>
      </c>
      <c r="B225" t="str">
        <f>IF(D225="Empty Row", "Empty Row",
   _xlfn.LET(
       _xlpm.rawDataLookup, _xlfn.XLOOKUP(D225,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25" s="56" t="str" cm="1">
        <f t="array" ref="C225">IF(D225="Empty Row", "Empty Row",
   IF(COUNTIF('Name Mapping'!H:AD, D225) &gt; 0,
      INDEX('Name Mapping'!F:F, MATCH(TRUE, MMULT(--('Name Mapping'!H:AD=D225), TRANSPOSE(COLUMN('Name Mapping'!H:AD)^0)) &gt; 0, 0)),
      "")
)</f>
        <v>Empty Row</v>
      </c>
      <c r="D225" t="str">
        <f>IF(RawDataTable[[#This Row],[Account Name and Number]]&lt;&gt;"", RawDataTable[[#This Row],[Account Name and Number]], "Empty Row")</f>
        <v>Empty Row</v>
      </c>
      <c r="E225" s="28" t="str">
        <f>IF(D225="Empty Row", "Empty Row",
   _xlfn.LET(
       _xlpm.lookupResult, _xlfn.XLOOKUP(D225, RawDataTable[Account Name and Number], RawDataTable[Investment Date], "MISSING VALUE"),
       IF(ISNUMBER(_xlpm.lookupResult), _xlpm.lookupResult, "INVALID VALUE")
   )
)</f>
        <v>Empty Row</v>
      </c>
      <c r="F225" s="29" t="str">
        <f>IF(D225="Empty Row", "Empty Row",
   _xlfn.LET(
       _xlpm.lookupResult, _xlfn.XLOOKUP(D225, RawDataTable[Account Name and Number], RawDataTable[Investment Amount], "MISSING VALUE"),
       IF(ISNUMBER(_xlpm.lookupResult), _xlpm.lookupResult, "INVALID VALUE")
   )
)</f>
        <v>Empty Row</v>
      </c>
      <c r="G225" s="28" t="str">
        <f t="shared" ca="1" si="3"/>
        <v>Empty Row</v>
      </c>
      <c r="H225" s="29" t="str">
        <f>IF(D225="Empty Row", "Empty Row",
   _xlfn.LET(
       _xlpm.lookupResult, _xlfn.XLOOKUP(D225, RawDataTable[Account Name and Number], RawDataTable[Valuation Amount], "MISSING VALUE"),
       IF(ISNUMBER(_xlpm.lookupResult), _xlpm.lookupResult, "INVALID VALUE")
   )
)</f>
        <v>Empty Row</v>
      </c>
      <c r="I225" s="2" t="str">
        <f>IF(D225="Empty Row", "Empty Row", IF(_xlfn.XLOOKUP(B225, MasterTable[IRA Custodian], MasterTable[Address], "")="", "NO STREET NAME FOUND", _xlfn.XLOOKUP(B225, MasterTable[IRA Custodian], MasterTable[Address], "")))</f>
        <v>Empty Row</v>
      </c>
      <c r="J225" s="2" t="str">
        <f>IF(D225="Empty Row", "Empty Row",
   IF(OR(
       _xlfn.XLOOKUP(B225, MasterTable[IRA Custodian], MasterTable[City], "")="",
       _xlfn.XLOOKUP(B225, MasterTable[IRA Custodian], MasterTable[State], "")="",
       _xlfn.XLOOKUP(B225, MasterTable[IRA Custodian], MasterTable[Zip], "")=""),
       "INCOMPLETE ADDRESS",
       _xlfn.CONCAT(
           _xlfn.XLOOKUP(B225, MasterTable[IRA Custodian], MasterTable[City], ""), ", ",
           _xlfn.XLOOKUP(B225, MasterTable[IRA Custodian], MasterTable[State], ""), " ",
           _xlfn.XLOOKUP(B225, MasterTable[IRA Custodian], MasterTable[Zip], "")
       )
   )
)</f>
        <v>Empty Row</v>
      </c>
    </row>
    <row r="226" spans="1:10" x14ac:dyDescent="0.25">
      <c r="A226" t="str">
        <f>IF(D226="Empty Row", "Empty Row",
   _xlfn.LET(
       _xlpm.lookupResult, _xlfn.XLOOKUP(D226, RawDataTable[Account Name and Number], RawDataTable[Entity], "RAW DATA MISSING"),
       IF(ISBLANK(_xlpm.lookupResult), "RAW DATA MISSING", _xlpm.lookupResult)
   )
)</f>
        <v>Empty Row</v>
      </c>
      <c r="B226" t="str">
        <f>IF(D226="Empty Row", "Empty Row",
   _xlfn.LET(
       _xlpm.rawDataLookup, _xlfn.XLOOKUP(D226,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26" s="56" t="str" cm="1">
        <f t="array" ref="C226">IF(D226="Empty Row", "Empty Row",
   IF(COUNTIF('Name Mapping'!H:AD, D226) &gt; 0,
      INDEX('Name Mapping'!F:F, MATCH(TRUE, MMULT(--('Name Mapping'!H:AD=D226), TRANSPOSE(COLUMN('Name Mapping'!H:AD)^0)) &gt; 0, 0)),
      "")
)</f>
        <v>Empty Row</v>
      </c>
      <c r="D226" t="str">
        <f>IF(RawDataTable[[#This Row],[Account Name and Number]]&lt;&gt;"", RawDataTable[[#This Row],[Account Name and Number]], "Empty Row")</f>
        <v>Empty Row</v>
      </c>
      <c r="E226" s="28" t="str">
        <f>IF(D226="Empty Row", "Empty Row",
   _xlfn.LET(
       _xlpm.lookupResult, _xlfn.XLOOKUP(D226, RawDataTable[Account Name and Number], RawDataTable[Investment Date], "MISSING VALUE"),
       IF(ISNUMBER(_xlpm.lookupResult), _xlpm.lookupResult, "INVALID VALUE")
   )
)</f>
        <v>Empty Row</v>
      </c>
      <c r="F226" s="29" t="str">
        <f>IF(D226="Empty Row", "Empty Row",
   _xlfn.LET(
       _xlpm.lookupResult, _xlfn.XLOOKUP(D226, RawDataTable[Account Name and Number], RawDataTable[Investment Amount], "MISSING VALUE"),
       IF(ISNUMBER(_xlpm.lookupResult), _xlpm.lookupResult, "INVALID VALUE")
   )
)</f>
        <v>Empty Row</v>
      </c>
      <c r="G226" s="28" t="str">
        <f t="shared" ca="1" si="3"/>
        <v>Empty Row</v>
      </c>
      <c r="H226" s="29" t="str">
        <f>IF(D226="Empty Row", "Empty Row",
   _xlfn.LET(
       _xlpm.lookupResult, _xlfn.XLOOKUP(D226, RawDataTable[Account Name and Number], RawDataTable[Valuation Amount], "MISSING VALUE"),
       IF(ISNUMBER(_xlpm.lookupResult), _xlpm.lookupResult, "INVALID VALUE")
   )
)</f>
        <v>Empty Row</v>
      </c>
      <c r="I226" s="2" t="str">
        <f>IF(D226="Empty Row", "Empty Row", IF(_xlfn.XLOOKUP(B226, MasterTable[IRA Custodian], MasterTable[Address], "")="", "NO STREET NAME FOUND", _xlfn.XLOOKUP(B226, MasterTable[IRA Custodian], MasterTable[Address], "")))</f>
        <v>Empty Row</v>
      </c>
      <c r="J226" s="2" t="str">
        <f>IF(D226="Empty Row", "Empty Row",
   IF(OR(
       _xlfn.XLOOKUP(B226, MasterTable[IRA Custodian], MasterTable[City], "")="",
       _xlfn.XLOOKUP(B226, MasterTable[IRA Custodian], MasterTable[State], "")="",
       _xlfn.XLOOKUP(B226, MasterTable[IRA Custodian], MasterTable[Zip], "")=""),
       "INCOMPLETE ADDRESS",
       _xlfn.CONCAT(
           _xlfn.XLOOKUP(B226, MasterTable[IRA Custodian], MasterTable[City], ""), ", ",
           _xlfn.XLOOKUP(B226, MasterTable[IRA Custodian], MasterTable[State], ""), " ",
           _xlfn.XLOOKUP(B226, MasterTable[IRA Custodian], MasterTable[Zip], "")
       )
   )
)</f>
        <v>Empty Row</v>
      </c>
    </row>
    <row r="227" spans="1:10" x14ac:dyDescent="0.25">
      <c r="A227" t="str">
        <f>IF(D227="Empty Row", "Empty Row",
   _xlfn.LET(
       _xlpm.lookupResult, _xlfn.XLOOKUP(D227, RawDataTable[Account Name and Number], RawDataTable[Entity], "RAW DATA MISSING"),
       IF(ISBLANK(_xlpm.lookupResult), "RAW DATA MISSING", _xlpm.lookupResult)
   )
)</f>
        <v>Empty Row</v>
      </c>
      <c r="B227" t="str">
        <f>IF(D227="Empty Row", "Empty Row",
   _xlfn.LET(
       _xlpm.rawDataLookup, _xlfn.XLOOKUP(D227,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27" s="56" t="str" cm="1">
        <f t="array" ref="C227">IF(D227="Empty Row", "Empty Row",
   IF(COUNTIF('Name Mapping'!H:AD, D227) &gt; 0,
      INDEX('Name Mapping'!F:F, MATCH(TRUE, MMULT(--('Name Mapping'!H:AD=D227), TRANSPOSE(COLUMN('Name Mapping'!H:AD)^0)) &gt; 0, 0)),
      "")
)</f>
        <v>Empty Row</v>
      </c>
      <c r="D227" t="str">
        <f>IF(RawDataTable[[#This Row],[Account Name and Number]]&lt;&gt;"", RawDataTable[[#This Row],[Account Name and Number]], "Empty Row")</f>
        <v>Empty Row</v>
      </c>
      <c r="E227" s="28" t="str">
        <f>IF(D227="Empty Row", "Empty Row",
   _xlfn.LET(
       _xlpm.lookupResult, _xlfn.XLOOKUP(D227, RawDataTable[Account Name and Number], RawDataTable[Investment Date], "MISSING VALUE"),
       IF(ISNUMBER(_xlpm.lookupResult), _xlpm.lookupResult, "INVALID VALUE")
   )
)</f>
        <v>Empty Row</v>
      </c>
      <c r="F227" s="29" t="str">
        <f>IF(D227="Empty Row", "Empty Row",
   _xlfn.LET(
       _xlpm.lookupResult, _xlfn.XLOOKUP(D227, RawDataTable[Account Name and Number], RawDataTable[Investment Amount], "MISSING VALUE"),
       IF(ISNUMBER(_xlpm.lookupResult), _xlpm.lookupResult, "INVALID VALUE")
   )
)</f>
        <v>Empty Row</v>
      </c>
      <c r="G227" s="28" t="str">
        <f t="shared" ca="1" si="3"/>
        <v>Empty Row</v>
      </c>
      <c r="H227" s="29" t="str">
        <f>IF(D227="Empty Row", "Empty Row",
   _xlfn.LET(
       _xlpm.lookupResult, _xlfn.XLOOKUP(D227, RawDataTable[Account Name and Number], RawDataTable[Valuation Amount], "MISSING VALUE"),
       IF(ISNUMBER(_xlpm.lookupResult), _xlpm.lookupResult, "INVALID VALUE")
   )
)</f>
        <v>Empty Row</v>
      </c>
      <c r="I227" s="2" t="str">
        <f>IF(D227="Empty Row", "Empty Row", IF(_xlfn.XLOOKUP(B227, MasterTable[IRA Custodian], MasterTable[Address], "")="", "NO STREET NAME FOUND", _xlfn.XLOOKUP(B227, MasterTable[IRA Custodian], MasterTable[Address], "")))</f>
        <v>Empty Row</v>
      </c>
      <c r="J227" s="2" t="str">
        <f>IF(D227="Empty Row", "Empty Row",
   IF(OR(
       _xlfn.XLOOKUP(B227, MasterTable[IRA Custodian], MasterTable[City], "")="",
       _xlfn.XLOOKUP(B227, MasterTable[IRA Custodian], MasterTable[State], "")="",
       _xlfn.XLOOKUP(B227, MasterTable[IRA Custodian], MasterTable[Zip], "")=""),
       "INCOMPLETE ADDRESS",
       _xlfn.CONCAT(
           _xlfn.XLOOKUP(B227, MasterTable[IRA Custodian], MasterTable[City], ""), ", ",
           _xlfn.XLOOKUP(B227, MasterTable[IRA Custodian], MasterTable[State], ""), " ",
           _xlfn.XLOOKUP(B227, MasterTable[IRA Custodian], MasterTable[Zip], "")
       )
   )
)</f>
        <v>Empty Row</v>
      </c>
    </row>
    <row r="228" spans="1:10" x14ac:dyDescent="0.25">
      <c r="A228" t="str">
        <f>IF(D228="Empty Row", "Empty Row",
   _xlfn.LET(
       _xlpm.lookupResult, _xlfn.XLOOKUP(D228, RawDataTable[Account Name and Number], RawDataTable[Entity], "RAW DATA MISSING"),
       IF(ISBLANK(_xlpm.lookupResult), "RAW DATA MISSING", _xlpm.lookupResult)
   )
)</f>
        <v>Empty Row</v>
      </c>
      <c r="B228" t="str">
        <f>IF(D228="Empty Row", "Empty Row",
   _xlfn.LET(
       _xlpm.rawDataLookup, _xlfn.XLOOKUP(D228,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28" s="56" t="str" cm="1">
        <f t="array" ref="C228">IF(D228="Empty Row", "Empty Row",
   IF(COUNTIF('Name Mapping'!H:AD, D228) &gt; 0,
      INDEX('Name Mapping'!F:F, MATCH(TRUE, MMULT(--('Name Mapping'!H:AD=D228), TRANSPOSE(COLUMN('Name Mapping'!H:AD)^0)) &gt; 0, 0)),
      "")
)</f>
        <v>Empty Row</v>
      </c>
      <c r="D228" t="str">
        <f>IF(RawDataTable[[#This Row],[Account Name and Number]]&lt;&gt;"", RawDataTable[[#This Row],[Account Name and Number]], "Empty Row")</f>
        <v>Empty Row</v>
      </c>
      <c r="E228" s="28" t="str">
        <f>IF(D228="Empty Row", "Empty Row",
   _xlfn.LET(
       _xlpm.lookupResult, _xlfn.XLOOKUP(D228, RawDataTable[Account Name and Number], RawDataTable[Investment Date], "MISSING VALUE"),
       IF(ISNUMBER(_xlpm.lookupResult), _xlpm.lookupResult, "INVALID VALUE")
   )
)</f>
        <v>Empty Row</v>
      </c>
      <c r="F228" s="29" t="str">
        <f>IF(D228="Empty Row", "Empty Row",
   _xlfn.LET(
       _xlpm.lookupResult, _xlfn.XLOOKUP(D228, RawDataTable[Account Name and Number], RawDataTable[Investment Amount], "MISSING VALUE"),
       IF(ISNUMBER(_xlpm.lookupResult), _xlpm.lookupResult, "INVALID VALUE")
   )
)</f>
        <v>Empty Row</v>
      </c>
      <c r="G228" s="28" t="str">
        <f t="shared" ca="1" si="3"/>
        <v>Empty Row</v>
      </c>
      <c r="H228" s="29" t="str">
        <f>IF(D228="Empty Row", "Empty Row",
   _xlfn.LET(
       _xlpm.lookupResult, _xlfn.XLOOKUP(D228, RawDataTable[Account Name and Number], RawDataTable[Valuation Amount], "MISSING VALUE"),
       IF(ISNUMBER(_xlpm.lookupResult), _xlpm.lookupResult, "INVALID VALUE")
   )
)</f>
        <v>Empty Row</v>
      </c>
      <c r="I228" s="2" t="str">
        <f>IF(D228="Empty Row", "Empty Row", IF(_xlfn.XLOOKUP(B228, MasterTable[IRA Custodian], MasterTable[Address], "")="", "NO STREET NAME FOUND", _xlfn.XLOOKUP(B228, MasterTable[IRA Custodian], MasterTable[Address], "")))</f>
        <v>Empty Row</v>
      </c>
      <c r="J228" s="2" t="str">
        <f>IF(D228="Empty Row", "Empty Row",
   IF(OR(
       _xlfn.XLOOKUP(B228, MasterTable[IRA Custodian], MasterTable[City], "")="",
       _xlfn.XLOOKUP(B228, MasterTable[IRA Custodian], MasterTable[State], "")="",
       _xlfn.XLOOKUP(B228, MasterTable[IRA Custodian], MasterTable[Zip], "")=""),
       "INCOMPLETE ADDRESS",
       _xlfn.CONCAT(
           _xlfn.XLOOKUP(B228, MasterTable[IRA Custodian], MasterTable[City], ""), ", ",
           _xlfn.XLOOKUP(B228, MasterTable[IRA Custodian], MasterTable[State], ""), " ",
           _xlfn.XLOOKUP(B228, MasterTable[IRA Custodian], MasterTable[Zip], "")
       )
   )
)</f>
        <v>Empty Row</v>
      </c>
    </row>
    <row r="229" spans="1:10" x14ac:dyDescent="0.25">
      <c r="A229" t="str">
        <f>IF(D229="Empty Row", "Empty Row",
   _xlfn.LET(
       _xlpm.lookupResult, _xlfn.XLOOKUP(D229, RawDataTable[Account Name and Number], RawDataTable[Entity], "RAW DATA MISSING"),
       IF(ISBLANK(_xlpm.lookupResult), "RAW DATA MISSING", _xlpm.lookupResult)
   )
)</f>
        <v>Empty Row</v>
      </c>
      <c r="B229" t="str">
        <f>IF(D229="Empty Row", "Empty Row",
   _xlfn.LET(
       _xlpm.rawDataLookup, _xlfn.XLOOKUP(D229,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29" s="56" t="str" cm="1">
        <f t="array" ref="C229">IF(D229="Empty Row", "Empty Row",
   IF(COUNTIF('Name Mapping'!H:AD, D229) &gt; 0,
      INDEX('Name Mapping'!F:F, MATCH(TRUE, MMULT(--('Name Mapping'!H:AD=D229), TRANSPOSE(COLUMN('Name Mapping'!H:AD)^0)) &gt; 0, 0)),
      "")
)</f>
        <v>Empty Row</v>
      </c>
      <c r="D229" t="str">
        <f>IF(RawDataTable[[#This Row],[Account Name and Number]]&lt;&gt;"", RawDataTable[[#This Row],[Account Name and Number]], "Empty Row")</f>
        <v>Empty Row</v>
      </c>
      <c r="E229" s="28" t="str">
        <f>IF(D229="Empty Row", "Empty Row",
   _xlfn.LET(
       _xlpm.lookupResult, _xlfn.XLOOKUP(D229, RawDataTable[Account Name and Number], RawDataTable[Investment Date], "MISSING VALUE"),
       IF(ISNUMBER(_xlpm.lookupResult), _xlpm.lookupResult, "INVALID VALUE")
   )
)</f>
        <v>Empty Row</v>
      </c>
      <c r="F229" s="29" t="str">
        <f>IF(D229="Empty Row", "Empty Row",
   _xlfn.LET(
       _xlpm.lookupResult, _xlfn.XLOOKUP(D229, RawDataTable[Account Name and Number], RawDataTable[Investment Amount], "MISSING VALUE"),
       IF(ISNUMBER(_xlpm.lookupResult), _xlpm.lookupResult, "INVALID VALUE")
   )
)</f>
        <v>Empty Row</v>
      </c>
      <c r="G229" s="28" t="str">
        <f t="shared" ca="1" si="3"/>
        <v>Empty Row</v>
      </c>
      <c r="H229" s="29" t="str">
        <f>IF(D229="Empty Row", "Empty Row",
   _xlfn.LET(
       _xlpm.lookupResult, _xlfn.XLOOKUP(D229, RawDataTable[Account Name and Number], RawDataTable[Valuation Amount], "MISSING VALUE"),
       IF(ISNUMBER(_xlpm.lookupResult), _xlpm.lookupResult, "INVALID VALUE")
   )
)</f>
        <v>Empty Row</v>
      </c>
      <c r="I229" s="2" t="str">
        <f>IF(D229="Empty Row", "Empty Row", IF(_xlfn.XLOOKUP(B229, MasterTable[IRA Custodian], MasterTable[Address], "")="", "NO STREET NAME FOUND", _xlfn.XLOOKUP(B229, MasterTable[IRA Custodian], MasterTable[Address], "")))</f>
        <v>Empty Row</v>
      </c>
      <c r="J229" s="2" t="str">
        <f>IF(D229="Empty Row", "Empty Row",
   IF(OR(
       _xlfn.XLOOKUP(B229, MasterTable[IRA Custodian], MasterTable[City], "")="",
       _xlfn.XLOOKUP(B229, MasterTable[IRA Custodian], MasterTable[State], "")="",
       _xlfn.XLOOKUP(B229, MasterTable[IRA Custodian], MasterTable[Zip], "")=""),
       "INCOMPLETE ADDRESS",
       _xlfn.CONCAT(
           _xlfn.XLOOKUP(B229, MasterTable[IRA Custodian], MasterTable[City], ""), ", ",
           _xlfn.XLOOKUP(B229, MasterTable[IRA Custodian], MasterTable[State], ""), " ",
           _xlfn.XLOOKUP(B229, MasterTable[IRA Custodian], MasterTable[Zip], "")
       )
   )
)</f>
        <v>Empty Row</v>
      </c>
    </row>
    <row r="230" spans="1:10" x14ac:dyDescent="0.25">
      <c r="A230" t="str">
        <f>IF(D230="Empty Row", "Empty Row",
   _xlfn.LET(
       _xlpm.lookupResult, _xlfn.XLOOKUP(D230, RawDataTable[Account Name and Number], RawDataTable[Entity], "RAW DATA MISSING"),
       IF(ISBLANK(_xlpm.lookupResult), "RAW DATA MISSING", _xlpm.lookupResult)
   )
)</f>
        <v>Empty Row</v>
      </c>
      <c r="B230" t="str">
        <f>IF(D230="Empty Row", "Empty Row",
   _xlfn.LET(
       _xlpm.rawDataLookup, _xlfn.XLOOKUP(D230,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30" s="56" t="str" cm="1">
        <f t="array" ref="C230">IF(D230="Empty Row", "Empty Row",
   IF(COUNTIF('Name Mapping'!H:AD, D230) &gt; 0,
      INDEX('Name Mapping'!F:F, MATCH(TRUE, MMULT(--('Name Mapping'!H:AD=D230), TRANSPOSE(COLUMN('Name Mapping'!H:AD)^0)) &gt; 0, 0)),
      "")
)</f>
        <v>Empty Row</v>
      </c>
      <c r="D230" t="str">
        <f>IF(RawDataTable[[#This Row],[Account Name and Number]]&lt;&gt;"", RawDataTable[[#This Row],[Account Name and Number]], "Empty Row")</f>
        <v>Empty Row</v>
      </c>
      <c r="E230" s="28" t="str">
        <f>IF(D230="Empty Row", "Empty Row",
   _xlfn.LET(
       _xlpm.lookupResult, _xlfn.XLOOKUP(D230, RawDataTable[Account Name and Number], RawDataTable[Investment Date], "MISSING VALUE"),
       IF(ISNUMBER(_xlpm.lookupResult), _xlpm.lookupResult, "INVALID VALUE")
   )
)</f>
        <v>Empty Row</v>
      </c>
      <c r="F230" s="29" t="str">
        <f>IF(D230="Empty Row", "Empty Row",
   _xlfn.LET(
       _xlpm.lookupResult, _xlfn.XLOOKUP(D230, RawDataTable[Account Name and Number], RawDataTable[Investment Amount], "MISSING VALUE"),
       IF(ISNUMBER(_xlpm.lookupResult), _xlpm.lookupResult, "INVALID VALUE")
   )
)</f>
        <v>Empty Row</v>
      </c>
      <c r="G230" s="28" t="str">
        <f t="shared" ca="1" si="3"/>
        <v>Empty Row</v>
      </c>
      <c r="H230" s="29" t="str">
        <f>IF(D230="Empty Row", "Empty Row",
   _xlfn.LET(
       _xlpm.lookupResult, _xlfn.XLOOKUP(D230, RawDataTable[Account Name and Number], RawDataTable[Valuation Amount], "MISSING VALUE"),
       IF(ISNUMBER(_xlpm.lookupResult), _xlpm.lookupResult, "INVALID VALUE")
   )
)</f>
        <v>Empty Row</v>
      </c>
      <c r="I230" s="2" t="str">
        <f>IF(D230="Empty Row", "Empty Row", IF(_xlfn.XLOOKUP(B230, MasterTable[IRA Custodian], MasterTable[Address], "")="", "NO STREET NAME FOUND", _xlfn.XLOOKUP(B230, MasterTable[IRA Custodian], MasterTable[Address], "")))</f>
        <v>Empty Row</v>
      </c>
      <c r="J230" s="2" t="str">
        <f>IF(D230="Empty Row", "Empty Row",
   IF(OR(
       _xlfn.XLOOKUP(B230, MasterTable[IRA Custodian], MasterTable[City], "")="",
       _xlfn.XLOOKUP(B230, MasterTable[IRA Custodian], MasterTable[State], "")="",
       _xlfn.XLOOKUP(B230, MasterTable[IRA Custodian], MasterTable[Zip], "")=""),
       "INCOMPLETE ADDRESS",
       _xlfn.CONCAT(
           _xlfn.XLOOKUP(B230, MasterTable[IRA Custodian], MasterTable[City], ""), ", ",
           _xlfn.XLOOKUP(B230, MasterTable[IRA Custodian], MasterTable[State], ""), " ",
           _xlfn.XLOOKUP(B230, MasterTable[IRA Custodian], MasterTable[Zip], "")
       )
   )
)</f>
        <v>Empty Row</v>
      </c>
    </row>
    <row r="231" spans="1:10" x14ac:dyDescent="0.25">
      <c r="A231" t="str">
        <f>IF(D231="Empty Row", "Empty Row",
   _xlfn.LET(
       _xlpm.lookupResult, _xlfn.XLOOKUP(D231, RawDataTable[Account Name and Number], RawDataTable[Entity], "RAW DATA MISSING"),
       IF(ISBLANK(_xlpm.lookupResult), "RAW DATA MISSING", _xlpm.lookupResult)
   )
)</f>
        <v>Empty Row</v>
      </c>
      <c r="B231" t="str">
        <f>IF(D231="Empty Row", "Empty Row",
   _xlfn.LET(
       _xlpm.rawDataLookup, _xlfn.XLOOKUP(D231,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31" s="56" t="str" cm="1">
        <f t="array" ref="C231">IF(D231="Empty Row", "Empty Row",
   IF(COUNTIF('Name Mapping'!H:AD, D231) &gt; 0,
      INDEX('Name Mapping'!F:F, MATCH(TRUE, MMULT(--('Name Mapping'!H:AD=D231), TRANSPOSE(COLUMN('Name Mapping'!H:AD)^0)) &gt; 0, 0)),
      "")
)</f>
        <v>Empty Row</v>
      </c>
      <c r="D231" t="str">
        <f>IF(RawDataTable[[#This Row],[Account Name and Number]]&lt;&gt;"", RawDataTable[[#This Row],[Account Name and Number]], "Empty Row")</f>
        <v>Empty Row</v>
      </c>
      <c r="E231" s="28" t="str">
        <f>IF(D231="Empty Row", "Empty Row",
   _xlfn.LET(
       _xlpm.lookupResult, _xlfn.XLOOKUP(D231, RawDataTable[Account Name and Number], RawDataTable[Investment Date], "MISSING VALUE"),
       IF(ISNUMBER(_xlpm.lookupResult), _xlpm.lookupResult, "INVALID VALUE")
   )
)</f>
        <v>Empty Row</v>
      </c>
      <c r="F231" s="29" t="str">
        <f>IF(D231="Empty Row", "Empty Row",
   _xlfn.LET(
       _xlpm.lookupResult, _xlfn.XLOOKUP(D231, RawDataTable[Account Name and Number], RawDataTable[Investment Amount], "MISSING VALUE"),
       IF(ISNUMBER(_xlpm.lookupResult), _xlpm.lookupResult, "INVALID VALUE")
   )
)</f>
        <v>Empty Row</v>
      </c>
      <c r="G231" s="28" t="str">
        <f t="shared" ca="1" si="3"/>
        <v>Empty Row</v>
      </c>
      <c r="H231" s="29" t="str">
        <f>IF(D231="Empty Row", "Empty Row",
   _xlfn.LET(
       _xlpm.lookupResult, _xlfn.XLOOKUP(D231, RawDataTable[Account Name and Number], RawDataTable[Valuation Amount], "MISSING VALUE"),
       IF(ISNUMBER(_xlpm.lookupResult), _xlpm.lookupResult, "INVALID VALUE")
   )
)</f>
        <v>Empty Row</v>
      </c>
      <c r="I231" s="2" t="str">
        <f>IF(D231="Empty Row", "Empty Row", IF(_xlfn.XLOOKUP(B231, MasterTable[IRA Custodian], MasterTable[Address], "")="", "NO STREET NAME FOUND", _xlfn.XLOOKUP(B231, MasterTable[IRA Custodian], MasterTable[Address], "")))</f>
        <v>Empty Row</v>
      </c>
      <c r="J231" s="2" t="str">
        <f>IF(D231="Empty Row", "Empty Row",
   IF(OR(
       _xlfn.XLOOKUP(B231, MasterTable[IRA Custodian], MasterTable[City], "")="",
       _xlfn.XLOOKUP(B231, MasterTable[IRA Custodian], MasterTable[State], "")="",
       _xlfn.XLOOKUP(B231, MasterTable[IRA Custodian], MasterTable[Zip], "")=""),
       "INCOMPLETE ADDRESS",
       _xlfn.CONCAT(
           _xlfn.XLOOKUP(B231, MasterTable[IRA Custodian], MasterTable[City], ""), ", ",
           _xlfn.XLOOKUP(B231, MasterTable[IRA Custodian], MasterTable[State], ""), " ",
           _xlfn.XLOOKUP(B231, MasterTable[IRA Custodian], MasterTable[Zip], "")
       )
   )
)</f>
        <v>Empty Row</v>
      </c>
    </row>
    <row r="232" spans="1:10" x14ac:dyDescent="0.25">
      <c r="A232" t="str">
        <f>IF(D232="Empty Row", "Empty Row",
   _xlfn.LET(
       _xlpm.lookupResult, _xlfn.XLOOKUP(D232, RawDataTable[Account Name and Number], RawDataTable[Entity], "RAW DATA MISSING"),
       IF(ISBLANK(_xlpm.lookupResult), "RAW DATA MISSING", _xlpm.lookupResult)
   )
)</f>
        <v>Empty Row</v>
      </c>
      <c r="B232" t="str">
        <f>IF(D232="Empty Row", "Empty Row",
   _xlfn.LET(
       _xlpm.rawDataLookup, _xlfn.XLOOKUP(D232,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32" s="56" t="str" cm="1">
        <f t="array" ref="C232">IF(D232="Empty Row", "Empty Row",
   IF(COUNTIF('Name Mapping'!H:AD, D232) &gt; 0,
      INDEX('Name Mapping'!F:F, MATCH(TRUE, MMULT(--('Name Mapping'!H:AD=D232), TRANSPOSE(COLUMN('Name Mapping'!H:AD)^0)) &gt; 0, 0)),
      "")
)</f>
        <v>Empty Row</v>
      </c>
      <c r="D232" t="str">
        <f>IF(RawDataTable[[#This Row],[Account Name and Number]]&lt;&gt;"", RawDataTable[[#This Row],[Account Name and Number]], "Empty Row")</f>
        <v>Empty Row</v>
      </c>
      <c r="E232" s="28" t="str">
        <f>IF(D232="Empty Row", "Empty Row",
   _xlfn.LET(
       _xlpm.lookupResult, _xlfn.XLOOKUP(D232, RawDataTable[Account Name and Number], RawDataTable[Investment Date], "MISSING VALUE"),
       IF(ISNUMBER(_xlpm.lookupResult), _xlpm.lookupResult, "INVALID VALUE")
   )
)</f>
        <v>Empty Row</v>
      </c>
      <c r="F232" s="29" t="str">
        <f>IF(D232="Empty Row", "Empty Row",
   _xlfn.LET(
       _xlpm.lookupResult, _xlfn.XLOOKUP(D232, RawDataTable[Account Name and Number], RawDataTable[Investment Amount], "MISSING VALUE"),
       IF(ISNUMBER(_xlpm.lookupResult), _xlpm.lookupResult, "INVALID VALUE")
   )
)</f>
        <v>Empty Row</v>
      </c>
      <c r="G232" s="28" t="str">
        <f t="shared" ca="1" si="3"/>
        <v>Empty Row</v>
      </c>
      <c r="H232" s="29" t="str">
        <f>IF(D232="Empty Row", "Empty Row",
   _xlfn.LET(
       _xlpm.lookupResult, _xlfn.XLOOKUP(D232, RawDataTable[Account Name and Number], RawDataTable[Valuation Amount], "MISSING VALUE"),
       IF(ISNUMBER(_xlpm.lookupResult), _xlpm.lookupResult, "INVALID VALUE")
   )
)</f>
        <v>Empty Row</v>
      </c>
      <c r="I232" s="2" t="str">
        <f>IF(D232="Empty Row", "Empty Row", IF(_xlfn.XLOOKUP(B232, MasterTable[IRA Custodian], MasterTable[Address], "")="", "NO STREET NAME FOUND", _xlfn.XLOOKUP(B232, MasterTable[IRA Custodian], MasterTable[Address], "")))</f>
        <v>Empty Row</v>
      </c>
      <c r="J232" s="2" t="str">
        <f>IF(D232="Empty Row", "Empty Row",
   IF(OR(
       _xlfn.XLOOKUP(B232, MasterTable[IRA Custodian], MasterTable[City], "")="",
       _xlfn.XLOOKUP(B232, MasterTable[IRA Custodian], MasterTable[State], "")="",
       _xlfn.XLOOKUP(B232, MasterTable[IRA Custodian], MasterTable[Zip], "")=""),
       "INCOMPLETE ADDRESS",
       _xlfn.CONCAT(
           _xlfn.XLOOKUP(B232, MasterTable[IRA Custodian], MasterTable[City], ""), ", ",
           _xlfn.XLOOKUP(B232, MasterTable[IRA Custodian], MasterTable[State], ""), " ",
           _xlfn.XLOOKUP(B232, MasterTable[IRA Custodian], MasterTable[Zip], "")
       )
   )
)</f>
        <v>Empty Row</v>
      </c>
    </row>
    <row r="233" spans="1:10" x14ac:dyDescent="0.25">
      <c r="A233" t="str">
        <f>IF(D233="Empty Row", "Empty Row",
   _xlfn.LET(
       _xlpm.lookupResult, _xlfn.XLOOKUP(D233, RawDataTable[Account Name and Number], RawDataTable[Entity], "RAW DATA MISSING"),
       IF(ISBLANK(_xlpm.lookupResult), "RAW DATA MISSING", _xlpm.lookupResult)
   )
)</f>
        <v>Empty Row</v>
      </c>
      <c r="B233" t="str">
        <f>IF(D233="Empty Row", "Empty Row",
   _xlfn.LET(
       _xlpm.rawDataLookup, _xlfn.XLOOKUP(D233,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33" s="56" t="str" cm="1">
        <f t="array" ref="C233">IF(D233="Empty Row", "Empty Row",
   IF(COUNTIF('Name Mapping'!H:AD, D233) &gt; 0,
      INDEX('Name Mapping'!F:F, MATCH(TRUE, MMULT(--('Name Mapping'!H:AD=D233), TRANSPOSE(COLUMN('Name Mapping'!H:AD)^0)) &gt; 0, 0)),
      "")
)</f>
        <v>Empty Row</v>
      </c>
      <c r="D233" t="str">
        <f>IF(RawDataTable[[#This Row],[Account Name and Number]]&lt;&gt;"", RawDataTable[[#This Row],[Account Name and Number]], "Empty Row")</f>
        <v>Empty Row</v>
      </c>
      <c r="E233" s="28" t="str">
        <f>IF(D233="Empty Row", "Empty Row",
   _xlfn.LET(
       _xlpm.lookupResult, _xlfn.XLOOKUP(D233, RawDataTable[Account Name and Number], RawDataTable[Investment Date], "MISSING VALUE"),
       IF(ISNUMBER(_xlpm.lookupResult), _xlpm.lookupResult, "INVALID VALUE")
   )
)</f>
        <v>Empty Row</v>
      </c>
      <c r="F233" s="29" t="str">
        <f>IF(D233="Empty Row", "Empty Row",
   _xlfn.LET(
       _xlpm.lookupResult, _xlfn.XLOOKUP(D233, RawDataTable[Account Name and Number], RawDataTable[Investment Amount], "MISSING VALUE"),
       IF(ISNUMBER(_xlpm.lookupResult), _xlpm.lookupResult, "INVALID VALUE")
   )
)</f>
        <v>Empty Row</v>
      </c>
      <c r="G233" s="28" t="str">
        <f t="shared" ca="1" si="3"/>
        <v>Empty Row</v>
      </c>
      <c r="H233" s="29" t="str">
        <f>IF(D233="Empty Row", "Empty Row",
   _xlfn.LET(
       _xlpm.lookupResult, _xlfn.XLOOKUP(D233, RawDataTable[Account Name and Number], RawDataTable[Valuation Amount], "MISSING VALUE"),
       IF(ISNUMBER(_xlpm.lookupResult), _xlpm.lookupResult, "INVALID VALUE")
   )
)</f>
        <v>Empty Row</v>
      </c>
      <c r="I233" s="2" t="str">
        <f>IF(D233="Empty Row", "Empty Row", IF(_xlfn.XLOOKUP(B233, MasterTable[IRA Custodian], MasterTable[Address], "")="", "NO STREET NAME FOUND", _xlfn.XLOOKUP(B233, MasterTable[IRA Custodian], MasterTable[Address], "")))</f>
        <v>Empty Row</v>
      </c>
      <c r="J233" s="2" t="str">
        <f>IF(D233="Empty Row", "Empty Row",
   IF(OR(
       _xlfn.XLOOKUP(B233, MasterTable[IRA Custodian], MasterTable[City], "")="",
       _xlfn.XLOOKUP(B233, MasterTable[IRA Custodian], MasterTable[State], "")="",
       _xlfn.XLOOKUP(B233, MasterTable[IRA Custodian], MasterTable[Zip], "")=""),
       "INCOMPLETE ADDRESS",
       _xlfn.CONCAT(
           _xlfn.XLOOKUP(B233, MasterTable[IRA Custodian], MasterTable[City], ""), ", ",
           _xlfn.XLOOKUP(B233, MasterTable[IRA Custodian], MasterTable[State], ""), " ",
           _xlfn.XLOOKUP(B233, MasterTable[IRA Custodian], MasterTable[Zip], "")
       )
   )
)</f>
        <v>Empty Row</v>
      </c>
    </row>
    <row r="234" spans="1:10" x14ac:dyDescent="0.25">
      <c r="A234" t="str">
        <f>IF(D234="Empty Row", "Empty Row",
   _xlfn.LET(
       _xlpm.lookupResult, _xlfn.XLOOKUP(D234, RawDataTable[Account Name and Number], RawDataTable[Entity], "RAW DATA MISSING"),
       IF(ISBLANK(_xlpm.lookupResult), "RAW DATA MISSING", _xlpm.lookupResult)
   )
)</f>
        <v>Empty Row</v>
      </c>
      <c r="B234" t="str">
        <f>IF(D234="Empty Row", "Empty Row",
   _xlfn.LET(
       _xlpm.rawDataLookup, _xlfn.XLOOKUP(D234,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34" s="56" t="str" cm="1">
        <f t="array" ref="C234">IF(D234="Empty Row", "Empty Row",
   IF(COUNTIF('Name Mapping'!H:AD, D234) &gt; 0,
      INDEX('Name Mapping'!F:F, MATCH(TRUE, MMULT(--('Name Mapping'!H:AD=D234), TRANSPOSE(COLUMN('Name Mapping'!H:AD)^0)) &gt; 0, 0)),
      "")
)</f>
        <v>Empty Row</v>
      </c>
      <c r="D234" t="str">
        <f>IF(RawDataTable[[#This Row],[Account Name and Number]]&lt;&gt;"", RawDataTable[[#This Row],[Account Name and Number]], "Empty Row")</f>
        <v>Empty Row</v>
      </c>
      <c r="E234" s="28" t="str">
        <f>IF(D234="Empty Row", "Empty Row",
   _xlfn.LET(
       _xlpm.lookupResult, _xlfn.XLOOKUP(D234, RawDataTable[Account Name and Number], RawDataTable[Investment Date], "MISSING VALUE"),
       IF(ISNUMBER(_xlpm.lookupResult), _xlpm.lookupResult, "INVALID VALUE")
   )
)</f>
        <v>Empty Row</v>
      </c>
      <c r="F234" s="29" t="str">
        <f>IF(D234="Empty Row", "Empty Row",
   _xlfn.LET(
       _xlpm.lookupResult, _xlfn.XLOOKUP(D234, RawDataTable[Account Name and Number], RawDataTable[Investment Amount], "MISSING VALUE"),
       IF(ISNUMBER(_xlpm.lookupResult), _xlpm.lookupResult, "INVALID VALUE")
   )
)</f>
        <v>Empty Row</v>
      </c>
      <c r="G234" s="28" t="str">
        <f t="shared" ca="1" si="3"/>
        <v>Empty Row</v>
      </c>
      <c r="H234" s="29" t="str">
        <f>IF(D234="Empty Row", "Empty Row",
   _xlfn.LET(
       _xlpm.lookupResult, _xlfn.XLOOKUP(D234, RawDataTable[Account Name and Number], RawDataTable[Valuation Amount], "MISSING VALUE"),
       IF(ISNUMBER(_xlpm.lookupResult), _xlpm.lookupResult, "INVALID VALUE")
   )
)</f>
        <v>Empty Row</v>
      </c>
      <c r="I234" s="2" t="str">
        <f>IF(D234="Empty Row", "Empty Row", IF(_xlfn.XLOOKUP(B234, MasterTable[IRA Custodian], MasterTable[Address], "")="", "NO STREET NAME FOUND", _xlfn.XLOOKUP(B234, MasterTable[IRA Custodian], MasterTable[Address], "")))</f>
        <v>Empty Row</v>
      </c>
      <c r="J234" s="2" t="str">
        <f>IF(D234="Empty Row", "Empty Row",
   IF(OR(
       _xlfn.XLOOKUP(B234, MasterTable[IRA Custodian], MasterTable[City], "")="",
       _xlfn.XLOOKUP(B234, MasterTable[IRA Custodian], MasterTable[State], "")="",
       _xlfn.XLOOKUP(B234, MasterTable[IRA Custodian], MasterTable[Zip], "")=""),
       "INCOMPLETE ADDRESS",
       _xlfn.CONCAT(
           _xlfn.XLOOKUP(B234, MasterTable[IRA Custodian], MasterTable[City], ""), ", ",
           _xlfn.XLOOKUP(B234, MasterTable[IRA Custodian], MasterTable[State], ""), " ",
           _xlfn.XLOOKUP(B234, MasterTable[IRA Custodian], MasterTable[Zip], "")
       )
   )
)</f>
        <v>Empty Row</v>
      </c>
    </row>
    <row r="235" spans="1:10" x14ac:dyDescent="0.25">
      <c r="A235" t="str">
        <f>IF(D235="Empty Row", "Empty Row",
   _xlfn.LET(
       _xlpm.lookupResult, _xlfn.XLOOKUP(D235, RawDataTable[Account Name and Number], RawDataTable[Entity], "RAW DATA MISSING"),
       IF(ISBLANK(_xlpm.lookupResult), "RAW DATA MISSING", _xlpm.lookupResult)
   )
)</f>
        <v>Empty Row</v>
      </c>
      <c r="B235" t="str">
        <f>IF(D235="Empty Row", "Empty Row",
   _xlfn.LET(
       _xlpm.rawDataLookup, _xlfn.XLOOKUP(D235,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35" s="56" t="str" cm="1">
        <f t="array" ref="C235">IF(D235="Empty Row", "Empty Row",
   IF(COUNTIF('Name Mapping'!H:AD, D235) &gt; 0,
      INDEX('Name Mapping'!F:F, MATCH(TRUE, MMULT(--('Name Mapping'!H:AD=D235), TRANSPOSE(COLUMN('Name Mapping'!H:AD)^0)) &gt; 0, 0)),
      "")
)</f>
        <v>Empty Row</v>
      </c>
      <c r="D235" t="str">
        <f>IF(RawDataTable[[#This Row],[Account Name and Number]]&lt;&gt;"", RawDataTable[[#This Row],[Account Name and Number]], "Empty Row")</f>
        <v>Empty Row</v>
      </c>
      <c r="E235" s="28" t="str">
        <f>IF(D235="Empty Row", "Empty Row",
   _xlfn.LET(
       _xlpm.lookupResult, _xlfn.XLOOKUP(D235, RawDataTable[Account Name and Number], RawDataTable[Investment Date], "MISSING VALUE"),
       IF(ISNUMBER(_xlpm.lookupResult), _xlpm.lookupResult, "INVALID VALUE")
   )
)</f>
        <v>Empty Row</v>
      </c>
      <c r="F235" s="29" t="str">
        <f>IF(D235="Empty Row", "Empty Row",
   _xlfn.LET(
       _xlpm.lookupResult, _xlfn.XLOOKUP(D235, RawDataTable[Account Name and Number], RawDataTable[Investment Amount], "MISSING VALUE"),
       IF(ISNUMBER(_xlpm.lookupResult), _xlpm.lookupResult, "INVALID VALUE")
   )
)</f>
        <v>Empty Row</v>
      </c>
      <c r="G235" s="28" t="str">
        <f t="shared" ca="1" si="3"/>
        <v>Empty Row</v>
      </c>
      <c r="H235" s="29" t="str">
        <f>IF(D235="Empty Row", "Empty Row",
   _xlfn.LET(
       _xlpm.lookupResult, _xlfn.XLOOKUP(D235, RawDataTable[Account Name and Number], RawDataTable[Valuation Amount], "MISSING VALUE"),
       IF(ISNUMBER(_xlpm.lookupResult), _xlpm.lookupResult, "INVALID VALUE")
   )
)</f>
        <v>Empty Row</v>
      </c>
      <c r="I235" s="2" t="str">
        <f>IF(D235="Empty Row", "Empty Row", IF(_xlfn.XLOOKUP(B235, MasterTable[IRA Custodian], MasterTable[Address], "")="", "NO STREET NAME FOUND", _xlfn.XLOOKUP(B235, MasterTable[IRA Custodian], MasterTable[Address], "")))</f>
        <v>Empty Row</v>
      </c>
      <c r="J235" s="2" t="str">
        <f>IF(D235="Empty Row", "Empty Row",
   IF(OR(
       _xlfn.XLOOKUP(B235, MasterTable[IRA Custodian], MasterTable[City], "")="",
       _xlfn.XLOOKUP(B235, MasterTable[IRA Custodian], MasterTable[State], "")="",
       _xlfn.XLOOKUP(B235, MasterTable[IRA Custodian], MasterTable[Zip], "")=""),
       "INCOMPLETE ADDRESS",
       _xlfn.CONCAT(
           _xlfn.XLOOKUP(B235, MasterTable[IRA Custodian], MasterTable[City], ""), ", ",
           _xlfn.XLOOKUP(B235, MasterTable[IRA Custodian], MasterTable[State], ""), " ",
           _xlfn.XLOOKUP(B235, MasterTable[IRA Custodian], MasterTable[Zip], "")
       )
   )
)</f>
        <v>Empty Row</v>
      </c>
    </row>
    <row r="236" spans="1:10" x14ac:dyDescent="0.25">
      <c r="A236" t="str">
        <f>IF(D236="Empty Row", "Empty Row",
   _xlfn.LET(
       _xlpm.lookupResult, _xlfn.XLOOKUP(D236, RawDataTable[Account Name and Number], RawDataTable[Entity], "RAW DATA MISSING"),
       IF(ISBLANK(_xlpm.lookupResult), "RAW DATA MISSING", _xlpm.lookupResult)
   )
)</f>
        <v>Empty Row</v>
      </c>
      <c r="B236" t="str">
        <f>IF(D236="Empty Row", "Empty Row",
   _xlfn.LET(
       _xlpm.rawDataLookup, _xlfn.XLOOKUP(D236,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36" s="56" t="str" cm="1">
        <f t="array" ref="C236">IF(D236="Empty Row", "Empty Row",
   IF(COUNTIF('Name Mapping'!H:AD, D236) &gt; 0,
      INDEX('Name Mapping'!F:F, MATCH(TRUE, MMULT(--('Name Mapping'!H:AD=D236), TRANSPOSE(COLUMN('Name Mapping'!H:AD)^0)) &gt; 0, 0)),
      "")
)</f>
        <v>Empty Row</v>
      </c>
      <c r="D236" t="str">
        <f>IF(RawDataTable[[#This Row],[Account Name and Number]]&lt;&gt;"", RawDataTable[[#This Row],[Account Name and Number]], "Empty Row")</f>
        <v>Empty Row</v>
      </c>
      <c r="E236" s="28" t="str">
        <f>IF(D236="Empty Row", "Empty Row",
   _xlfn.LET(
       _xlpm.lookupResult, _xlfn.XLOOKUP(D236, RawDataTable[Account Name and Number], RawDataTable[Investment Date], "MISSING VALUE"),
       IF(ISNUMBER(_xlpm.lookupResult), _xlpm.lookupResult, "INVALID VALUE")
   )
)</f>
        <v>Empty Row</v>
      </c>
      <c r="F236" s="29" t="str">
        <f>IF(D236="Empty Row", "Empty Row",
   _xlfn.LET(
       _xlpm.lookupResult, _xlfn.XLOOKUP(D236, RawDataTable[Account Name and Number], RawDataTable[Investment Amount], "MISSING VALUE"),
       IF(ISNUMBER(_xlpm.lookupResult), _xlpm.lookupResult, "INVALID VALUE")
   )
)</f>
        <v>Empty Row</v>
      </c>
      <c r="G236" s="28" t="str">
        <f t="shared" ca="1" si="3"/>
        <v>Empty Row</v>
      </c>
      <c r="H236" s="29" t="str">
        <f>IF(D236="Empty Row", "Empty Row",
   _xlfn.LET(
       _xlpm.lookupResult, _xlfn.XLOOKUP(D236, RawDataTable[Account Name and Number], RawDataTable[Valuation Amount], "MISSING VALUE"),
       IF(ISNUMBER(_xlpm.lookupResult), _xlpm.lookupResult, "INVALID VALUE")
   )
)</f>
        <v>Empty Row</v>
      </c>
      <c r="I236" s="2" t="str">
        <f>IF(D236="Empty Row", "Empty Row", IF(_xlfn.XLOOKUP(B236, MasterTable[IRA Custodian], MasterTable[Address], "")="", "NO STREET NAME FOUND", _xlfn.XLOOKUP(B236, MasterTable[IRA Custodian], MasterTable[Address], "")))</f>
        <v>Empty Row</v>
      </c>
      <c r="J236" s="2" t="str">
        <f>IF(D236="Empty Row", "Empty Row",
   IF(OR(
       _xlfn.XLOOKUP(B236, MasterTable[IRA Custodian], MasterTable[City], "")="",
       _xlfn.XLOOKUP(B236, MasterTable[IRA Custodian], MasterTable[State], "")="",
       _xlfn.XLOOKUP(B236, MasterTable[IRA Custodian], MasterTable[Zip], "")=""),
       "INCOMPLETE ADDRESS",
       _xlfn.CONCAT(
           _xlfn.XLOOKUP(B236, MasterTable[IRA Custodian], MasterTable[City], ""), ", ",
           _xlfn.XLOOKUP(B236, MasterTable[IRA Custodian], MasterTable[State], ""), " ",
           _xlfn.XLOOKUP(B236, MasterTable[IRA Custodian], MasterTable[Zip], "")
       )
   )
)</f>
        <v>Empty Row</v>
      </c>
    </row>
    <row r="237" spans="1:10" x14ac:dyDescent="0.25">
      <c r="A237" t="str">
        <f>IF(D237="Empty Row", "Empty Row",
   _xlfn.LET(
       _xlpm.lookupResult, _xlfn.XLOOKUP(D237, RawDataTable[Account Name and Number], RawDataTable[Entity], "RAW DATA MISSING"),
       IF(ISBLANK(_xlpm.lookupResult), "RAW DATA MISSING", _xlpm.lookupResult)
   )
)</f>
        <v>Empty Row</v>
      </c>
      <c r="B237" t="str">
        <f>IF(D237="Empty Row", "Empty Row",
   _xlfn.LET(
       _xlpm.rawDataLookup, _xlfn.XLOOKUP(D237,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37" s="56" t="str" cm="1">
        <f t="array" ref="C237">IF(D237="Empty Row", "Empty Row",
   IF(COUNTIF('Name Mapping'!H:AD, D237) &gt; 0,
      INDEX('Name Mapping'!F:F, MATCH(TRUE, MMULT(--('Name Mapping'!H:AD=D237), TRANSPOSE(COLUMN('Name Mapping'!H:AD)^0)) &gt; 0, 0)),
      "")
)</f>
        <v>Empty Row</v>
      </c>
      <c r="D237" t="str">
        <f>IF(RawDataTable[[#This Row],[Account Name and Number]]&lt;&gt;"", RawDataTable[[#This Row],[Account Name and Number]], "Empty Row")</f>
        <v>Empty Row</v>
      </c>
      <c r="E237" s="28" t="str">
        <f>IF(D237="Empty Row", "Empty Row",
   _xlfn.LET(
       _xlpm.lookupResult, _xlfn.XLOOKUP(D237, RawDataTable[Account Name and Number], RawDataTable[Investment Date], "MISSING VALUE"),
       IF(ISNUMBER(_xlpm.lookupResult), _xlpm.lookupResult, "INVALID VALUE")
   )
)</f>
        <v>Empty Row</v>
      </c>
      <c r="F237" s="29" t="str">
        <f>IF(D237="Empty Row", "Empty Row",
   _xlfn.LET(
       _xlpm.lookupResult, _xlfn.XLOOKUP(D237, RawDataTable[Account Name and Number], RawDataTable[Investment Amount], "MISSING VALUE"),
       IF(ISNUMBER(_xlpm.lookupResult), _xlpm.lookupResult, "INVALID VALUE")
   )
)</f>
        <v>Empty Row</v>
      </c>
      <c r="G237" s="28" t="str">
        <f t="shared" ca="1" si="3"/>
        <v>Empty Row</v>
      </c>
      <c r="H237" s="29" t="str">
        <f>IF(D237="Empty Row", "Empty Row",
   _xlfn.LET(
       _xlpm.lookupResult, _xlfn.XLOOKUP(D237, RawDataTable[Account Name and Number], RawDataTable[Valuation Amount], "MISSING VALUE"),
       IF(ISNUMBER(_xlpm.lookupResult), _xlpm.lookupResult, "INVALID VALUE")
   )
)</f>
        <v>Empty Row</v>
      </c>
      <c r="I237" s="2" t="str">
        <f>IF(D237="Empty Row", "Empty Row", IF(_xlfn.XLOOKUP(B237, MasterTable[IRA Custodian], MasterTable[Address], "")="", "NO STREET NAME FOUND", _xlfn.XLOOKUP(B237, MasterTable[IRA Custodian], MasterTable[Address], "")))</f>
        <v>Empty Row</v>
      </c>
      <c r="J237" s="2" t="str">
        <f>IF(D237="Empty Row", "Empty Row",
   IF(OR(
       _xlfn.XLOOKUP(B237, MasterTable[IRA Custodian], MasterTable[City], "")="",
       _xlfn.XLOOKUP(B237, MasterTable[IRA Custodian], MasterTable[State], "")="",
       _xlfn.XLOOKUP(B237, MasterTable[IRA Custodian], MasterTable[Zip], "")=""),
       "INCOMPLETE ADDRESS",
       _xlfn.CONCAT(
           _xlfn.XLOOKUP(B237, MasterTable[IRA Custodian], MasterTable[City], ""), ", ",
           _xlfn.XLOOKUP(B237, MasterTable[IRA Custodian], MasterTable[State], ""), " ",
           _xlfn.XLOOKUP(B237, MasterTable[IRA Custodian], MasterTable[Zip], "")
       )
   )
)</f>
        <v>Empty Row</v>
      </c>
    </row>
    <row r="238" spans="1:10" x14ac:dyDescent="0.25">
      <c r="A238" t="str">
        <f>IF(D238="Empty Row", "Empty Row",
   _xlfn.LET(
       _xlpm.lookupResult, _xlfn.XLOOKUP(D238, RawDataTable[Account Name and Number], RawDataTable[Entity], "RAW DATA MISSING"),
       IF(ISBLANK(_xlpm.lookupResult), "RAW DATA MISSING", _xlpm.lookupResult)
   )
)</f>
        <v>Empty Row</v>
      </c>
      <c r="B238" t="str">
        <f>IF(D238="Empty Row", "Empty Row",
   _xlfn.LET(
       _xlpm.rawDataLookup, _xlfn.XLOOKUP(D238,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38" s="56" t="str" cm="1">
        <f t="array" ref="C238">IF(D238="Empty Row", "Empty Row",
   IF(COUNTIF('Name Mapping'!H:AD, D238) &gt; 0,
      INDEX('Name Mapping'!F:F, MATCH(TRUE, MMULT(--('Name Mapping'!H:AD=D238), TRANSPOSE(COLUMN('Name Mapping'!H:AD)^0)) &gt; 0, 0)),
      "")
)</f>
        <v>Empty Row</v>
      </c>
      <c r="D238" t="str">
        <f>IF(RawDataTable[[#This Row],[Account Name and Number]]&lt;&gt;"", RawDataTable[[#This Row],[Account Name and Number]], "Empty Row")</f>
        <v>Empty Row</v>
      </c>
      <c r="E238" s="28" t="str">
        <f>IF(D238="Empty Row", "Empty Row",
   _xlfn.LET(
       _xlpm.lookupResult, _xlfn.XLOOKUP(D238, RawDataTable[Account Name and Number], RawDataTable[Investment Date], "MISSING VALUE"),
       IF(ISNUMBER(_xlpm.lookupResult), _xlpm.lookupResult, "INVALID VALUE")
   )
)</f>
        <v>Empty Row</v>
      </c>
      <c r="F238" s="29" t="str">
        <f>IF(D238="Empty Row", "Empty Row",
   _xlfn.LET(
       _xlpm.lookupResult, _xlfn.XLOOKUP(D238, RawDataTable[Account Name and Number], RawDataTable[Investment Amount], "MISSING VALUE"),
       IF(ISNUMBER(_xlpm.lookupResult), _xlpm.lookupResult, "INVALID VALUE")
   )
)</f>
        <v>Empty Row</v>
      </c>
      <c r="G238" s="28" t="str">
        <f t="shared" ca="1" si="3"/>
        <v>Empty Row</v>
      </c>
      <c r="H238" s="29" t="str">
        <f>IF(D238="Empty Row", "Empty Row",
   _xlfn.LET(
       _xlpm.lookupResult, _xlfn.XLOOKUP(D238, RawDataTable[Account Name and Number], RawDataTable[Valuation Amount], "MISSING VALUE"),
       IF(ISNUMBER(_xlpm.lookupResult), _xlpm.lookupResult, "INVALID VALUE")
   )
)</f>
        <v>Empty Row</v>
      </c>
      <c r="I238" s="2" t="str">
        <f>IF(D238="Empty Row", "Empty Row", IF(_xlfn.XLOOKUP(B238, MasterTable[IRA Custodian], MasterTable[Address], "")="", "NO STREET NAME FOUND", _xlfn.XLOOKUP(B238, MasterTable[IRA Custodian], MasterTable[Address], "")))</f>
        <v>Empty Row</v>
      </c>
      <c r="J238" s="2" t="str">
        <f>IF(D238="Empty Row", "Empty Row",
   IF(OR(
       _xlfn.XLOOKUP(B238, MasterTable[IRA Custodian], MasterTable[City], "")="",
       _xlfn.XLOOKUP(B238, MasterTable[IRA Custodian], MasterTable[State], "")="",
       _xlfn.XLOOKUP(B238, MasterTable[IRA Custodian], MasterTable[Zip], "")=""),
       "INCOMPLETE ADDRESS",
       _xlfn.CONCAT(
           _xlfn.XLOOKUP(B238, MasterTable[IRA Custodian], MasterTable[City], ""), ", ",
           _xlfn.XLOOKUP(B238, MasterTable[IRA Custodian], MasterTable[State], ""), " ",
           _xlfn.XLOOKUP(B238, MasterTable[IRA Custodian], MasterTable[Zip], "")
       )
   )
)</f>
        <v>Empty Row</v>
      </c>
    </row>
    <row r="239" spans="1:10" x14ac:dyDescent="0.25">
      <c r="A239" t="str">
        <f>IF(D239="Empty Row", "Empty Row",
   _xlfn.LET(
       _xlpm.lookupResult, _xlfn.XLOOKUP(D239, RawDataTable[Account Name and Number], RawDataTable[Entity], "RAW DATA MISSING"),
       IF(ISBLANK(_xlpm.lookupResult), "RAW DATA MISSING", _xlpm.lookupResult)
   )
)</f>
        <v>Empty Row</v>
      </c>
      <c r="B239" t="str">
        <f>IF(D239="Empty Row", "Empty Row",
   _xlfn.LET(
       _xlpm.rawDataLookup, _xlfn.XLOOKUP(D239,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39" s="56" t="str" cm="1">
        <f t="array" ref="C239">IF(D239="Empty Row", "Empty Row",
   IF(COUNTIF('Name Mapping'!H:AD, D239) &gt; 0,
      INDEX('Name Mapping'!F:F, MATCH(TRUE, MMULT(--('Name Mapping'!H:AD=D239), TRANSPOSE(COLUMN('Name Mapping'!H:AD)^0)) &gt; 0, 0)),
      "")
)</f>
        <v>Empty Row</v>
      </c>
      <c r="D239" t="str">
        <f>IF(RawDataTable[[#This Row],[Account Name and Number]]&lt;&gt;"", RawDataTable[[#This Row],[Account Name and Number]], "Empty Row")</f>
        <v>Empty Row</v>
      </c>
      <c r="E239" s="28" t="str">
        <f>IF(D239="Empty Row", "Empty Row",
   _xlfn.LET(
       _xlpm.lookupResult, _xlfn.XLOOKUP(D239, RawDataTable[Account Name and Number], RawDataTable[Investment Date], "MISSING VALUE"),
       IF(ISNUMBER(_xlpm.lookupResult), _xlpm.lookupResult, "INVALID VALUE")
   )
)</f>
        <v>Empty Row</v>
      </c>
      <c r="F239" s="29" t="str">
        <f>IF(D239="Empty Row", "Empty Row",
   _xlfn.LET(
       _xlpm.lookupResult, _xlfn.XLOOKUP(D239, RawDataTable[Account Name and Number], RawDataTable[Investment Amount], "MISSING VALUE"),
       IF(ISNUMBER(_xlpm.lookupResult), _xlpm.lookupResult, "INVALID VALUE")
   )
)</f>
        <v>Empty Row</v>
      </c>
      <c r="G239" s="28" t="str">
        <f t="shared" ca="1" si="3"/>
        <v>Empty Row</v>
      </c>
      <c r="H239" s="29" t="str">
        <f>IF(D239="Empty Row", "Empty Row",
   _xlfn.LET(
       _xlpm.lookupResult, _xlfn.XLOOKUP(D239, RawDataTable[Account Name and Number], RawDataTable[Valuation Amount], "MISSING VALUE"),
       IF(ISNUMBER(_xlpm.lookupResult), _xlpm.lookupResult, "INVALID VALUE")
   )
)</f>
        <v>Empty Row</v>
      </c>
      <c r="I239" s="2" t="str">
        <f>IF(D239="Empty Row", "Empty Row", IF(_xlfn.XLOOKUP(B239, MasterTable[IRA Custodian], MasterTable[Address], "")="", "NO STREET NAME FOUND", _xlfn.XLOOKUP(B239, MasterTable[IRA Custodian], MasterTable[Address], "")))</f>
        <v>Empty Row</v>
      </c>
      <c r="J239" s="2" t="str">
        <f>IF(D239="Empty Row", "Empty Row",
   IF(OR(
       _xlfn.XLOOKUP(B239, MasterTable[IRA Custodian], MasterTable[City], "")="",
       _xlfn.XLOOKUP(B239, MasterTable[IRA Custodian], MasterTable[State], "")="",
       _xlfn.XLOOKUP(B239, MasterTable[IRA Custodian], MasterTable[Zip], "")=""),
       "INCOMPLETE ADDRESS",
       _xlfn.CONCAT(
           _xlfn.XLOOKUP(B239, MasterTable[IRA Custodian], MasterTable[City], ""), ", ",
           _xlfn.XLOOKUP(B239, MasterTable[IRA Custodian], MasterTable[State], ""), " ",
           _xlfn.XLOOKUP(B239, MasterTable[IRA Custodian], MasterTable[Zip], "")
       )
   )
)</f>
        <v>Empty Row</v>
      </c>
    </row>
    <row r="240" spans="1:10" x14ac:dyDescent="0.25">
      <c r="A240" t="str">
        <f>IF(D240="Empty Row", "Empty Row",
   _xlfn.LET(
       _xlpm.lookupResult, _xlfn.XLOOKUP(D240, RawDataTable[Account Name and Number], RawDataTable[Entity], "RAW DATA MISSING"),
       IF(ISBLANK(_xlpm.lookupResult), "RAW DATA MISSING", _xlpm.lookupResult)
   )
)</f>
        <v>Empty Row</v>
      </c>
      <c r="B240" t="str">
        <f>IF(D240="Empty Row", "Empty Row",
   _xlfn.LET(
       _xlpm.rawDataLookup, _xlfn.XLOOKUP(D240,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40" s="56" t="str" cm="1">
        <f t="array" ref="C240">IF(D240="Empty Row", "Empty Row",
   IF(COUNTIF('Name Mapping'!H:AD, D240) &gt; 0,
      INDEX('Name Mapping'!F:F, MATCH(TRUE, MMULT(--('Name Mapping'!H:AD=D240), TRANSPOSE(COLUMN('Name Mapping'!H:AD)^0)) &gt; 0, 0)),
      "")
)</f>
        <v>Empty Row</v>
      </c>
      <c r="D240" t="str">
        <f>IF(RawDataTable[[#This Row],[Account Name and Number]]&lt;&gt;"", RawDataTable[[#This Row],[Account Name and Number]], "Empty Row")</f>
        <v>Empty Row</v>
      </c>
      <c r="E240" s="28" t="str">
        <f>IF(D240="Empty Row", "Empty Row",
   _xlfn.LET(
       _xlpm.lookupResult, _xlfn.XLOOKUP(D240, RawDataTable[Account Name and Number], RawDataTable[Investment Date], "MISSING VALUE"),
       IF(ISNUMBER(_xlpm.lookupResult), _xlpm.lookupResult, "INVALID VALUE")
   )
)</f>
        <v>Empty Row</v>
      </c>
      <c r="F240" s="29" t="str">
        <f>IF(D240="Empty Row", "Empty Row",
   _xlfn.LET(
       _xlpm.lookupResult, _xlfn.XLOOKUP(D240, RawDataTable[Account Name and Number], RawDataTable[Investment Amount], "MISSING VALUE"),
       IF(ISNUMBER(_xlpm.lookupResult), _xlpm.lookupResult, "INVALID VALUE")
   )
)</f>
        <v>Empty Row</v>
      </c>
      <c r="G240" s="28" t="str">
        <f t="shared" ca="1" si="3"/>
        <v>Empty Row</v>
      </c>
      <c r="H240" s="29" t="str">
        <f>IF(D240="Empty Row", "Empty Row",
   _xlfn.LET(
       _xlpm.lookupResult, _xlfn.XLOOKUP(D240, RawDataTable[Account Name and Number], RawDataTable[Valuation Amount], "MISSING VALUE"),
       IF(ISNUMBER(_xlpm.lookupResult), _xlpm.lookupResult, "INVALID VALUE")
   )
)</f>
        <v>Empty Row</v>
      </c>
      <c r="I240" s="2" t="str">
        <f>IF(D240="Empty Row", "Empty Row", IF(_xlfn.XLOOKUP(B240, MasterTable[IRA Custodian], MasterTable[Address], "")="", "NO STREET NAME FOUND", _xlfn.XLOOKUP(B240, MasterTable[IRA Custodian], MasterTable[Address], "")))</f>
        <v>Empty Row</v>
      </c>
      <c r="J240" s="2" t="str">
        <f>IF(D240="Empty Row", "Empty Row",
   IF(OR(
       _xlfn.XLOOKUP(B240, MasterTable[IRA Custodian], MasterTable[City], "")="",
       _xlfn.XLOOKUP(B240, MasterTable[IRA Custodian], MasterTable[State], "")="",
       _xlfn.XLOOKUP(B240, MasterTable[IRA Custodian], MasterTable[Zip], "")=""),
       "INCOMPLETE ADDRESS",
       _xlfn.CONCAT(
           _xlfn.XLOOKUP(B240, MasterTable[IRA Custodian], MasterTable[City], ""), ", ",
           _xlfn.XLOOKUP(B240, MasterTable[IRA Custodian], MasterTable[State], ""), " ",
           _xlfn.XLOOKUP(B240, MasterTable[IRA Custodian], MasterTable[Zip], "")
       )
   )
)</f>
        <v>Empty Row</v>
      </c>
    </row>
    <row r="241" spans="1:10" x14ac:dyDescent="0.25">
      <c r="A241" t="str">
        <f>IF(D241="Empty Row", "Empty Row",
   _xlfn.LET(
       _xlpm.lookupResult, _xlfn.XLOOKUP(D241, RawDataTable[Account Name and Number], RawDataTable[Entity], "RAW DATA MISSING"),
       IF(ISBLANK(_xlpm.lookupResult), "RAW DATA MISSING", _xlpm.lookupResult)
   )
)</f>
        <v>Empty Row</v>
      </c>
      <c r="B241" t="str">
        <f>IF(D241="Empty Row", "Empty Row",
   _xlfn.LET(
       _xlpm.rawDataLookup, _xlfn.XLOOKUP(D241,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41" s="56" t="str" cm="1">
        <f t="array" ref="C241">IF(D241="Empty Row", "Empty Row",
   IF(COUNTIF('Name Mapping'!H:AD, D241) &gt; 0,
      INDEX('Name Mapping'!F:F, MATCH(TRUE, MMULT(--('Name Mapping'!H:AD=D241), TRANSPOSE(COLUMN('Name Mapping'!H:AD)^0)) &gt; 0, 0)),
      "")
)</f>
        <v>Empty Row</v>
      </c>
      <c r="D241" t="str">
        <f>IF(RawDataTable[[#This Row],[Account Name and Number]]&lt;&gt;"", RawDataTable[[#This Row],[Account Name and Number]], "Empty Row")</f>
        <v>Empty Row</v>
      </c>
      <c r="E241" s="28" t="str">
        <f>IF(D241="Empty Row", "Empty Row",
   _xlfn.LET(
       _xlpm.lookupResult, _xlfn.XLOOKUP(D241, RawDataTable[Account Name and Number], RawDataTable[Investment Date], "MISSING VALUE"),
       IF(ISNUMBER(_xlpm.lookupResult), _xlpm.lookupResult, "INVALID VALUE")
   )
)</f>
        <v>Empty Row</v>
      </c>
      <c r="F241" s="29" t="str">
        <f>IF(D241="Empty Row", "Empty Row",
   _xlfn.LET(
       _xlpm.lookupResult, _xlfn.XLOOKUP(D241, RawDataTable[Account Name and Number], RawDataTable[Investment Amount], "MISSING VALUE"),
       IF(ISNUMBER(_xlpm.lookupResult), _xlpm.lookupResult, "INVALID VALUE")
   )
)</f>
        <v>Empty Row</v>
      </c>
      <c r="G241" s="28" t="str">
        <f t="shared" ca="1" si="3"/>
        <v>Empty Row</v>
      </c>
      <c r="H241" s="29" t="str">
        <f>IF(D241="Empty Row", "Empty Row",
   _xlfn.LET(
       _xlpm.lookupResult, _xlfn.XLOOKUP(D241, RawDataTable[Account Name and Number], RawDataTable[Valuation Amount], "MISSING VALUE"),
       IF(ISNUMBER(_xlpm.lookupResult), _xlpm.lookupResult, "INVALID VALUE")
   )
)</f>
        <v>Empty Row</v>
      </c>
      <c r="I241" s="2" t="str">
        <f>IF(D241="Empty Row", "Empty Row", IF(_xlfn.XLOOKUP(B241, MasterTable[IRA Custodian], MasterTable[Address], "")="", "NO STREET NAME FOUND", _xlfn.XLOOKUP(B241, MasterTable[IRA Custodian], MasterTable[Address], "")))</f>
        <v>Empty Row</v>
      </c>
      <c r="J241" s="2" t="str">
        <f>IF(D241="Empty Row", "Empty Row",
   IF(OR(
       _xlfn.XLOOKUP(B241, MasterTable[IRA Custodian], MasterTable[City], "")="",
       _xlfn.XLOOKUP(B241, MasterTable[IRA Custodian], MasterTable[State], "")="",
       _xlfn.XLOOKUP(B241, MasterTable[IRA Custodian], MasterTable[Zip], "")=""),
       "INCOMPLETE ADDRESS",
       _xlfn.CONCAT(
           _xlfn.XLOOKUP(B241, MasterTable[IRA Custodian], MasterTable[City], ""), ", ",
           _xlfn.XLOOKUP(B241, MasterTable[IRA Custodian], MasterTable[State], ""), " ",
           _xlfn.XLOOKUP(B241, MasterTable[IRA Custodian], MasterTable[Zip], "")
       )
   )
)</f>
        <v>Empty Row</v>
      </c>
    </row>
    <row r="242" spans="1:10" x14ac:dyDescent="0.25">
      <c r="A242" t="str">
        <f>IF(D242="Empty Row", "Empty Row",
   _xlfn.LET(
       _xlpm.lookupResult, _xlfn.XLOOKUP(D242, RawDataTable[Account Name and Number], RawDataTable[Entity], "RAW DATA MISSING"),
       IF(ISBLANK(_xlpm.lookupResult), "RAW DATA MISSING", _xlpm.lookupResult)
   )
)</f>
        <v>Empty Row</v>
      </c>
      <c r="B242" t="str">
        <f>IF(D242="Empty Row", "Empty Row",
   _xlfn.LET(
       _xlpm.rawDataLookup, _xlfn.XLOOKUP(D242,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42" s="56" t="str" cm="1">
        <f t="array" ref="C242">IF(D242="Empty Row", "Empty Row",
   IF(COUNTIF('Name Mapping'!H:AD, D242) &gt; 0,
      INDEX('Name Mapping'!F:F, MATCH(TRUE, MMULT(--('Name Mapping'!H:AD=D242), TRANSPOSE(COLUMN('Name Mapping'!H:AD)^0)) &gt; 0, 0)),
      "")
)</f>
        <v>Empty Row</v>
      </c>
      <c r="D242" t="str">
        <f>IF(RawDataTable[[#This Row],[Account Name and Number]]&lt;&gt;"", RawDataTable[[#This Row],[Account Name and Number]], "Empty Row")</f>
        <v>Empty Row</v>
      </c>
      <c r="E242" s="28" t="str">
        <f>IF(D242="Empty Row", "Empty Row",
   _xlfn.LET(
       _xlpm.lookupResult, _xlfn.XLOOKUP(D242, RawDataTable[Account Name and Number], RawDataTable[Investment Date], "MISSING VALUE"),
       IF(ISNUMBER(_xlpm.lookupResult), _xlpm.lookupResult, "INVALID VALUE")
   )
)</f>
        <v>Empty Row</v>
      </c>
      <c r="F242" s="29" t="str">
        <f>IF(D242="Empty Row", "Empty Row",
   _xlfn.LET(
       _xlpm.lookupResult, _xlfn.XLOOKUP(D242, RawDataTable[Account Name and Number], RawDataTable[Investment Amount], "MISSING VALUE"),
       IF(ISNUMBER(_xlpm.lookupResult), _xlpm.lookupResult, "INVALID VALUE")
   )
)</f>
        <v>Empty Row</v>
      </c>
      <c r="G242" s="28" t="str">
        <f t="shared" ca="1" si="3"/>
        <v>Empty Row</v>
      </c>
      <c r="H242" s="29" t="str">
        <f>IF(D242="Empty Row", "Empty Row",
   _xlfn.LET(
       _xlpm.lookupResult, _xlfn.XLOOKUP(D242, RawDataTable[Account Name and Number], RawDataTable[Valuation Amount], "MISSING VALUE"),
       IF(ISNUMBER(_xlpm.lookupResult), _xlpm.lookupResult, "INVALID VALUE")
   )
)</f>
        <v>Empty Row</v>
      </c>
      <c r="I242" s="2" t="str">
        <f>IF(D242="Empty Row", "Empty Row", IF(_xlfn.XLOOKUP(B242, MasterTable[IRA Custodian], MasterTable[Address], "")="", "NO STREET NAME FOUND", _xlfn.XLOOKUP(B242, MasterTable[IRA Custodian], MasterTable[Address], "")))</f>
        <v>Empty Row</v>
      </c>
      <c r="J242" s="2" t="str">
        <f>IF(D242="Empty Row", "Empty Row",
   IF(OR(
       _xlfn.XLOOKUP(B242, MasterTable[IRA Custodian], MasterTable[City], "")="",
       _xlfn.XLOOKUP(B242, MasterTable[IRA Custodian], MasterTable[State], "")="",
       _xlfn.XLOOKUP(B242, MasterTable[IRA Custodian], MasterTable[Zip], "")=""),
       "INCOMPLETE ADDRESS",
       _xlfn.CONCAT(
           _xlfn.XLOOKUP(B242, MasterTable[IRA Custodian], MasterTable[City], ""), ", ",
           _xlfn.XLOOKUP(B242, MasterTable[IRA Custodian], MasterTable[State], ""), " ",
           _xlfn.XLOOKUP(B242, MasterTable[IRA Custodian], MasterTable[Zip], "")
       )
   )
)</f>
        <v>Empty Row</v>
      </c>
    </row>
    <row r="243" spans="1:10" x14ac:dyDescent="0.25">
      <c r="A243" t="str">
        <f>IF(D243="Empty Row", "Empty Row",
   _xlfn.LET(
       _xlpm.lookupResult, _xlfn.XLOOKUP(D243, RawDataTable[Account Name and Number], RawDataTable[Entity], "RAW DATA MISSING"),
       IF(ISBLANK(_xlpm.lookupResult), "RAW DATA MISSING", _xlpm.lookupResult)
   )
)</f>
        <v>Empty Row</v>
      </c>
      <c r="B243" t="str">
        <f>IF(D243="Empty Row", "Empty Row",
   _xlfn.LET(
       _xlpm.rawDataLookup, _xlfn.XLOOKUP(D243,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43" s="56" t="str" cm="1">
        <f t="array" ref="C243">IF(D243="Empty Row", "Empty Row",
   IF(COUNTIF('Name Mapping'!H:AD, D243) &gt; 0,
      INDEX('Name Mapping'!F:F, MATCH(TRUE, MMULT(--('Name Mapping'!H:AD=D243), TRANSPOSE(COLUMN('Name Mapping'!H:AD)^0)) &gt; 0, 0)),
      "")
)</f>
        <v>Empty Row</v>
      </c>
      <c r="D243" t="str">
        <f>IF(RawDataTable[[#This Row],[Account Name and Number]]&lt;&gt;"", RawDataTable[[#This Row],[Account Name and Number]], "Empty Row")</f>
        <v>Empty Row</v>
      </c>
      <c r="E243" s="28" t="str">
        <f>IF(D243="Empty Row", "Empty Row",
   _xlfn.LET(
       _xlpm.lookupResult, _xlfn.XLOOKUP(D243, RawDataTable[Account Name and Number], RawDataTable[Investment Date], "MISSING VALUE"),
       IF(ISNUMBER(_xlpm.lookupResult), _xlpm.lookupResult, "INVALID VALUE")
   )
)</f>
        <v>Empty Row</v>
      </c>
      <c r="F243" s="29" t="str">
        <f>IF(D243="Empty Row", "Empty Row",
   _xlfn.LET(
       _xlpm.lookupResult, _xlfn.XLOOKUP(D243, RawDataTable[Account Name and Number], RawDataTable[Investment Amount], "MISSING VALUE"),
       IF(ISNUMBER(_xlpm.lookupResult), _xlpm.lookupResult, "INVALID VALUE")
   )
)</f>
        <v>Empty Row</v>
      </c>
      <c r="G243" s="28" t="str">
        <f t="shared" ca="1" si="3"/>
        <v>Empty Row</v>
      </c>
      <c r="H243" s="29" t="str">
        <f>IF(D243="Empty Row", "Empty Row",
   _xlfn.LET(
       _xlpm.lookupResult, _xlfn.XLOOKUP(D243, RawDataTable[Account Name and Number], RawDataTable[Valuation Amount], "MISSING VALUE"),
       IF(ISNUMBER(_xlpm.lookupResult), _xlpm.lookupResult, "INVALID VALUE")
   )
)</f>
        <v>Empty Row</v>
      </c>
      <c r="I243" s="2" t="str">
        <f>IF(D243="Empty Row", "Empty Row", IF(_xlfn.XLOOKUP(B243, MasterTable[IRA Custodian], MasterTable[Address], "")="", "NO STREET NAME FOUND", _xlfn.XLOOKUP(B243, MasterTable[IRA Custodian], MasterTable[Address], "")))</f>
        <v>Empty Row</v>
      </c>
      <c r="J243" s="2" t="str">
        <f>IF(D243="Empty Row", "Empty Row",
   IF(OR(
       _xlfn.XLOOKUP(B243, MasterTable[IRA Custodian], MasterTable[City], "")="",
       _xlfn.XLOOKUP(B243, MasterTable[IRA Custodian], MasterTable[State], "")="",
       _xlfn.XLOOKUP(B243, MasterTable[IRA Custodian], MasterTable[Zip], "")=""),
       "INCOMPLETE ADDRESS",
       _xlfn.CONCAT(
           _xlfn.XLOOKUP(B243, MasterTable[IRA Custodian], MasterTable[City], ""), ", ",
           _xlfn.XLOOKUP(B243, MasterTable[IRA Custodian], MasterTable[State], ""), " ",
           _xlfn.XLOOKUP(B243, MasterTable[IRA Custodian], MasterTable[Zip], "")
       )
   )
)</f>
        <v>Empty Row</v>
      </c>
    </row>
    <row r="244" spans="1:10" x14ac:dyDescent="0.25">
      <c r="A244" t="str">
        <f>IF(D244="Empty Row", "Empty Row",
   _xlfn.LET(
       _xlpm.lookupResult, _xlfn.XLOOKUP(D244, RawDataTable[Account Name and Number], RawDataTable[Entity], "RAW DATA MISSING"),
       IF(ISBLANK(_xlpm.lookupResult), "RAW DATA MISSING", _xlpm.lookupResult)
   )
)</f>
        <v>Empty Row</v>
      </c>
      <c r="B244" t="str">
        <f>IF(D244="Empty Row", "Empty Row",
   _xlfn.LET(
       _xlpm.rawDataLookup, _xlfn.XLOOKUP(D244,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44" s="56" t="str" cm="1">
        <f t="array" ref="C244">IF(D244="Empty Row", "Empty Row",
   IF(COUNTIF('Name Mapping'!H:AD, D244) &gt; 0,
      INDEX('Name Mapping'!F:F, MATCH(TRUE, MMULT(--('Name Mapping'!H:AD=D244), TRANSPOSE(COLUMN('Name Mapping'!H:AD)^0)) &gt; 0, 0)),
      "")
)</f>
        <v>Empty Row</v>
      </c>
      <c r="D244" t="str">
        <f>IF(RawDataTable[[#This Row],[Account Name and Number]]&lt;&gt;"", RawDataTable[[#This Row],[Account Name and Number]], "Empty Row")</f>
        <v>Empty Row</v>
      </c>
      <c r="E244" s="28" t="str">
        <f>IF(D244="Empty Row", "Empty Row",
   _xlfn.LET(
       _xlpm.lookupResult, _xlfn.XLOOKUP(D244, RawDataTable[Account Name and Number], RawDataTable[Investment Date], "MISSING VALUE"),
       IF(ISNUMBER(_xlpm.lookupResult), _xlpm.lookupResult, "INVALID VALUE")
   )
)</f>
        <v>Empty Row</v>
      </c>
      <c r="F244" s="29" t="str">
        <f>IF(D244="Empty Row", "Empty Row",
   _xlfn.LET(
       _xlpm.lookupResult, _xlfn.XLOOKUP(D244, RawDataTable[Account Name and Number], RawDataTable[Investment Amount], "MISSING VALUE"),
       IF(ISNUMBER(_xlpm.lookupResult), _xlpm.lookupResult, "INVALID VALUE")
   )
)</f>
        <v>Empty Row</v>
      </c>
      <c r="G244" s="28" t="str">
        <f t="shared" ca="1" si="3"/>
        <v>Empty Row</v>
      </c>
      <c r="H244" s="29" t="str">
        <f>IF(D244="Empty Row", "Empty Row",
   _xlfn.LET(
       _xlpm.lookupResult, _xlfn.XLOOKUP(D244, RawDataTable[Account Name and Number], RawDataTable[Valuation Amount], "MISSING VALUE"),
       IF(ISNUMBER(_xlpm.lookupResult), _xlpm.lookupResult, "INVALID VALUE")
   )
)</f>
        <v>Empty Row</v>
      </c>
      <c r="I244" s="2" t="str">
        <f>IF(D244="Empty Row", "Empty Row", IF(_xlfn.XLOOKUP(B244, MasterTable[IRA Custodian], MasterTable[Address], "")="", "NO STREET NAME FOUND", _xlfn.XLOOKUP(B244, MasterTable[IRA Custodian], MasterTable[Address], "")))</f>
        <v>Empty Row</v>
      </c>
      <c r="J244" s="2" t="str">
        <f>IF(D244="Empty Row", "Empty Row",
   IF(OR(
       _xlfn.XLOOKUP(B244, MasterTable[IRA Custodian], MasterTable[City], "")="",
       _xlfn.XLOOKUP(B244, MasterTable[IRA Custodian], MasterTable[State], "")="",
       _xlfn.XLOOKUP(B244, MasterTable[IRA Custodian], MasterTable[Zip], "")=""),
       "INCOMPLETE ADDRESS",
       _xlfn.CONCAT(
           _xlfn.XLOOKUP(B244, MasterTable[IRA Custodian], MasterTable[City], ""), ", ",
           _xlfn.XLOOKUP(B244, MasterTable[IRA Custodian], MasterTable[State], ""), " ",
           _xlfn.XLOOKUP(B244, MasterTable[IRA Custodian], MasterTable[Zip], "")
       )
   )
)</f>
        <v>Empty Row</v>
      </c>
    </row>
    <row r="245" spans="1:10" x14ac:dyDescent="0.25">
      <c r="A245" t="str">
        <f>IF(D245="Empty Row", "Empty Row",
   _xlfn.LET(
       _xlpm.lookupResult, _xlfn.XLOOKUP(D245, RawDataTable[Account Name and Number], RawDataTable[Entity], "RAW DATA MISSING"),
       IF(ISBLANK(_xlpm.lookupResult), "RAW DATA MISSING", _xlpm.lookupResult)
   )
)</f>
        <v>Empty Row</v>
      </c>
      <c r="B245" t="str">
        <f>IF(D245="Empty Row", "Empty Row",
   _xlfn.LET(
       _xlpm.rawDataLookup, _xlfn.XLOOKUP(D245,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45" s="56" t="str" cm="1">
        <f t="array" ref="C245">IF(D245="Empty Row", "Empty Row",
   IF(COUNTIF('Name Mapping'!H:AD, D245) &gt; 0,
      INDEX('Name Mapping'!F:F, MATCH(TRUE, MMULT(--('Name Mapping'!H:AD=D245), TRANSPOSE(COLUMN('Name Mapping'!H:AD)^0)) &gt; 0, 0)),
      "")
)</f>
        <v>Empty Row</v>
      </c>
      <c r="D245" t="str">
        <f>IF(RawDataTable[[#This Row],[Account Name and Number]]&lt;&gt;"", RawDataTable[[#This Row],[Account Name and Number]], "Empty Row")</f>
        <v>Empty Row</v>
      </c>
      <c r="E245" s="28" t="str">
        <f>IF(D245="Empty Row", "Empty Row",
   _xlfn.LET(
       _xlpm.lookupResult, _xlfn.XLOOKUP(D245, RawDataTable[Account Name and Number], RawDataTable[Investment Date], "MISSING VALUE"),
       IF(ISNUMBER(_xlpm.lookupResult), _xlpm.lookupResult, "INVALID VALUE")
   )
)</f>
        <v>Empty Row</v>
      </c>
      <c r="F245" s="29" t="str">
        <f>IF(D245="Empty Row", "Empty Row",
   _xlfn.LET(
       _xlpm.lookupResult, _xlfn.XLOOKUP(D245, RawDataTable[Account Name and Number], RawDataTable[Investment Amount], "MISSING VALUE"),
       IF(ISNUMBER(_xlpm.lookupResult), _xlpm.lookupResult, "INVALID VALUE")
   )
)</f>
        <v>Empty Row</v>
      </c>
      <c r="G245" s="28" t="str">
        <f t="shared" ca="1" si="3"/>
        <v>Empty Row</v>
      </c>
      <c r="H245" s="29" t="str">
        <f>IF(D245="Empty Row", "Empty Row",
   _xlfn.LET(
       _xlpm.lookupResult, _xlfn.XLOOKUP(D245, RawDataTable[Account Name and Number], RawDataTable[Valuation Amount], "MISSING VALUE"),
       IF(ISNUMBER(_xlpm.lookupResult), _xlpm.lookupResult, "INVALID VALUE")
   )
)</f>
        <v>Empty Row</v>
      </c>
      <c r="I245" s="2" t="str">
        <f>IF(D245="Empty Row", "Empty Row", IF(_xlfn.XLOOKUP(B245, MasterTable[IRA Custodian], MasterTable[Address], "")="", "NO STREET NAME FOUND", _xlfn.XLOOKUP(B245, MasterTable[IRA Custodian], MasterTable[Address], "")))</f>
        <v>Empty Row</v>
      </c>
      <c r="J245" s="2" t="str">
        <f>IF(D245="Empty Row", "Empty Row",
   IF(OR(
       _xlfn.XLOOKUP(B245, MasterTable[IRA Custodian], MasterTable[City], "")="",
       _xlfn.XLOOKUP(B245, MasterTable[IRA Custodian], MasterTable[State], "")="",
       _xlfn.XLOOKUP(B245, MasterTable[IRA Custodian], MasterTable[Zip], "")=""),
       "INCOMPLETE ADDRESS",
       _xlfn.CONCAT(
           _xlfn.XLOOKUP(B245, MasterTable[IRA Custodian], MasterTable[City], ""), ", ",
           _xlfn.XLOOKUP(B245, MasterTable[IRA Custodian], MasterTable[State], ""), " ",
           _xlfn.XLOOKUP(B245, MasterTable[IRA Custodian], MasterTable[Zip], "")
       )
   )
)</f>
        <v>Empty Row</v>
      </c>
    </row>
    <row r="246" spans="1:10" x14ac:dyDescent="0.25">
      <c r="A246" t="str">
        <f>IF(D246="Empty Row", "Empty Row",
   _xlfn.LET(
       _xlpm.lookupResult, _xlfn.XLOOKUP(D246, RawDataTable[Account Name and Number], RawDataTable[Entity], "RAW DATA MISSING"),
       IF(ISBLANK(_xlpm.lookupResult), "RAW DATA MISSING", _xlpm.lookupResult)
   )
)</f>
        <v>Empty Row</v>
      </c>
      <c r="B246" t="str">
        <f>IF(D246="Empty Row", "Empty Row",
   _xlfn.LET(
       _xlpm.rawDataLookup, _xlfn.XLOOKUP(D246,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46" s="56" t="str" cm="1">
        <f t="array" ref="C246">IF(D246="Empty Row", "Empty Row",
   IF(COUNTIF('Name Mapping'!H:AD, D246) &gt; 0,
      INDEX('Name Mapping'!F:F, MATCH(TRUE, MMULT(--('Name Mapping'!H:AD=D246), TRANSPOSE(COLUMN('Name Mapping'!H:AD)^0)) &gt; 0, 0)),
      "")
)</f>
        <v>Empty Row</v>
      </c>
      <c r="D246" t="str">
        <f>IF(RawDataTable[[#This Row],[Account Name and Number]]&lt;&gt;"", RawDataTable[[#This Row],[Account Name and Number]], "Empty Row")</f>
        <v>Empty Row</v>
      </c>
      <c r="E246" s="28" t="str">
        <f>IF(D246="Empty Row", "Empty Row",
   _xlfn.LET(
       _xlpm.lookupResult, _xlfn.XLOOKUP(D246, RawDataTable[Account Name and Number], RawDataTable[Investment Date], "MISSING VALUE"),
       IF(ISNUMBER(_xlpm.lookupResult), _xlpm.lookupResult, "INVALID VALUE")
   )
)</f>
        <v>Empty Row</v>
      </c>
      <c r="F246" s="29" t="str">
        <f>IF(D246="Empty Row", "Empty Row",
   _xlfn.LET(
       _xlpm.lookupResult, _xlfn.XLOOKUP(D246, RawDataTable[Account Name and Number], RawDataTable[Investment Amount], "MISSING VALUE"),
       IF(ISNUMBER(_xlpm.lookupResult), _xlpm.lookupResult, "INVALID VALUE")
   )
)</f>
        <v>Empty Row</v>
      </c>
      <c r="G246" s="28" t="str">
        <f t="shared" ca="1" si="3"/>
        <v>Empty Row</v>
      </c>
      <c r="H246" s="29" t="str">
        <f>IF(D246="Empty Row", "Empty Row",
   _xlfn.LET(
       _xlpm.lookupResult, _xlfn.XLOOKUP(D246, RawDataTable[Account Name and Number], RawDataTable[Valuation Amount], "MISSING VALUE"),
       IF(ISNUMBER(_xlpm.lookupResult), _xlpm.lookupResult, "INVALID VALUE")
   )
)</f>
        <v>Empty Row</v>
      </c>
      <c r="I246" s="2" t="str">
        <f>IF(D246="Empty Row", "Empty Row", IF(_xlfn.XLOOKUP(B246, MasterTable[IRA Custodian], MasterTable[Address], "")="", "NO STREET NAME FOUND", _xlfn.XLOOKUP(B246, MasterTable[IRA Custodian], MasterTable[Address], "")))</f>
        <v>Empty Row</v>
      </c>
      <c r="J246" s="2" t="str">
        <f>IF(D246="Empty Row", "Empty Row",
   IF(OR(
       _xlfn.XLOOKUP(B246, MasterTable[IRA Custodian], MasterTable[City], "")="",
       _xlfn.XLOOKUP(B246, MasterTable[IRA Custodian], MasterTable[State], "")="",
       _xlfn.XLOOKUP(B246, MasterTable[IRA Custodian], MasterTable[Zip], "")=""),
       "INCOMPLETE ADDRESS",
       _xlfn.CONCAT(
           _xlfn.XLOOKUP(B246, MasterTable[IRA Custodian], MasterTable[City], ""), ", ",
           _xlfn.XLOOKUP(B246, MasterTable[IRA Custodian], MasterTable[State], ""), " ",
           _xlfn.XLOOKUP(B246, MasterTable[IRA Custodian], MasterTable[Zip], "")
       )
   )
)</f>
        <v>Empty Row</v>
      </c>
    </row>
    <row r="247" spans="1:10" x14ac:dyDescent="0.25">
      <c r="A247" t="str">
        <f>IF(D247="Empty Row", "Empty Row",
   _xlfn.LET(
       _xlpm.lookupResult, _xlfn.XLOOKUP(D247, RawDataTable[Account Name and Number], RawDataTable[Entity], "RAW DATA MISSING"),
       IF(ISBLANK(_xlpm.lookupResult), "RAW DATA MISSING", _xlpm.lookupResult)
   )
)</f>
        <v>Empty Row</v>
      </c>
      <c r="B247" t="str">
        <f>IF(D247="Empty Row", "Empty Row",
   _xlfn.LET(
       _xlpm.rawDataLookup, _xlfn.XLOOKUP(D247,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47" s="56" t="str" cm="1">
        <f t="array" ref="C247">IF(D247="Empty Row", "Empty Row",
   IF(COUNTIF('Name Mapping'!H:AD, D247) &gt; 0,
      INDEX('Name Mapping'!F:F, MATCH(TRUE, MMULT(--('Name Mapping'!H:AD=D247), TRANSPOSE(COLUMN('Name Mapping'!H:AD)^0)) &gt; 0, 0)),
      "")
)</f>
        <v>Empty Row</v>
      </c>
      <c r="D247" t="str">
        <f>IF(RawDataTable[[#This Row],[Account Name and Number]]&lt;&gt;"", RawDataTable[[#This Row],[Account Name and Number]], "Empty Row")</f>
        <v>Empty Row</v>
      </c>
      <c r="E247" s="28" t="str">
        <f>IF(D247="Empty Row", "Empty Row",
   _xlfn.LET(
       _xlpm.lookupResult, _xlfn.XLOOKUP(D247, RawDataTable[Account Name and Number], RawDataTable[Investment Date], "MISSING VALUE"),
       IF(ISNUMBER(_xlpm.lookupResult), _xlpm.lookupResult, "INVALID VALUE")
   )
)</f>
        <v>Empty Row</v>
      </c>
      <c r="F247" s="29" t="str">
        <f>IF(D247="Empty Row", "Empty Row",
   _xlfn.LET(
       _xlpm.lookupResult, _xlfn.XLOOKUP(D247, RawDataTable[Account Name and Number], RawDataTable[Investment Amount], "MISSING VALUE"),
       IF(ISNUMBER(_xlpm.lookupResult), _xlpm.lookupResult, "INVALID VALUE")
   )
)</f>
        <v>Empty Row</v>
      </c>
      <c r="G247" s="28" t="str">
        <f t="shared" ca="1" si="3"/>
        <v>Empty Row</v>
      </c>
      <c r="H247" s="29" t="str">
        <f>IF(D247="Empty Row", "Empty Row",
   _xlfn.LET(
       _xlpm.lookupResult, _xlfn.XLOOKUP(D247, RawDataTable[Account Name and Number], RawDataTable[Valuation Amount], "MISSING VALUE"),
       IF(ISNUMBER(_xlpm.lookupResult), _xlpm.lookupResult, "INVALID VALUE")
   )
)</f>
        <v>Empty Row</v>
      </c>
      <c r="I247" s="2" t="str">
        <f>IF(D247="Empty Row", "Empty Row", IF(_xlfn.XLOOKUP(B247, MasterTable[IRA Custodian], MasterTable[Address], "")="", "NO STREET NAME FOUND", _xlfn.XLOOKUP(B247, MasterTable[IRA Custodian], MasterTable[Address], "")))</f>
        <v>Empty Row</v>
      </c>
      <c r="J247" s="2" t="str">
        <f>IF(D247="Empty Row", "Empty Row",
   IF(OR(
       _xlfn.XLOOKUP(B247, MasterTable[IRA Custodian], MasterTable[City], "")="",
       _xlfn.XLOOKUP(B247, MasterTable[IRA Custodian], MasterTable[State], "")="",
       _xlfn.XLOOKUP(B247, MasterTable[IRA Custodian], MasterTable[Zip], "")=""),
       "INCOMPLETE ADDRESS",
       _xlfn.CONCAT(
           _xlfn.XLOOKUP(B247, MasterTable[IRA Custodian], MasterTable[City], ""), ", ",
           _xlfn.XLOOKUP(B247, MasterTable[IRA Custodian], MasterTable[State], ""), " ",
           _xlfn.XLOOKUP(B247, MasterTable[IRA Custodian], MasterTable[Zip], "")
       )
   )
)</f>
        <v>Empty Row</v>
      </c>
    </row>
    <row r="248" spans="1:10" x14ac:dyDescent="0.25">
      <c r="A248" t="str">
        <f>IF(D248="Empty Row", "Empty Row",
   _xlfn.LET(
       _xlpm.lookupResult, _xlfn.XLOOKUP(D248, RawDataTable[Account Name and Number], RawDataTable[Entity], "RAW DATA MISSING"),
       IF(ISBLANK(_xlpm.lookupResult), "RAW DATA MISSING", _xlpm.lookupResult)
   )
)</f>
        <v>Empty Row</v>
      </c>
      <c r="B248" t="str">
        <f>IF(D248="Empty Row", "Empty Row",
   _xlfn.LET(
       _xlpm.rawDataLookup, _xlfn.XLOOKUP(D248,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48" s="56" t="str" cm="1">
        <f t="array" ref="C248">IF(D248="Empty Row", "Empty Row",
   IF(COUNTIF('Name Mapping'!H:AD, D248) &gt; 0,
      INDEX('Name Mapping'!F:F, MATCH(TRUE, MMULT(--('Name Mapping'!H:AD=D248), TRANSPOSE(COLUMN('Name Mapping'!H:AD)^0)) &gt; 0, 0)),
      "")
)</f>
        <v>Empty Row</v>
      </c>
      <c r="D248" t="str">
        <f>IF(RawDataTable[[#This Row],[Account Name and Number]]&lt;&gt;"", RawDataTable[[#This Row],[Account Name and Number]], "Empty Row")</f>
        <v>Empty Row</v>
      </c>
      <c r="E248" s="28" t="str">
        <f>IF(D248="Empty Row", "Empty Row",
   _xlfn.LET(
       _xlpm.lookupResult, _xlfn.XLOOKUP(D248, RawDataTable[Account Name and Number], RawDataTable[Investment Date], "MISSING VALUE"),
       IF(ISNUMBER(_xlpm.lookupResult), _xlpm.lookupResult, "INVALID VALUE")
   )
)</f>
        <v>Empty Row</v>
      </c>
      <c r="F248" s="29" t="str">
        <f>IF(D248="Empty Row", "Empty Row",
   _xlfn.LET(
       _xlpm.lookupResult, _xlfn.XLOOKUP(D248, RawDataTable[Account Name and Number], RawDataTable[Investment Amount], "MISSING VALUE"),
       IF(ISNUMBER(_xlpm.lookupResult), _xlpm.lookupResult, "INVALID VALUE")
   )
)</f>
        <v>Empty Row</v>
      </c>
      <c r="G248" s="28" t="str">
        <f t="shared" ca="1" si="3"/>
        <v>Empty Row</v>
      </c>
      <c r="H248" s="29" t="str">
        <f>IF(D248="Empty Row", "Empty Row",
   _xlfn.LET(
       _xlpm.lookupResult, _xlfn.XLOOKUP(D248, RawDataTable[Account Name and Number], RawDataTable[Valuation Amount], "MISSING VALUE"),
       IF(ISNUMBER(_xlpm.lookupResult), _xlpm.lookupResult, "INVALID VALUE")
   )
)</f>
        <v>Empty Row</v>
      </c>
      <c r="I248" s="2" t="str">
        <f>IF(D248="Empty Row", "Empty Row", IF(_xlfn.XLOOKUP(B248, MasterTable[IRA Custodian], MasterTable[Address], "")="", "NO STREET NAME FOUND", _xlfn.XLOOKUP(B248, MasterTable[IRA Custodian], MasterTable[Address], "")))</f>
        <v>Empty Row</v>
      </c>
      <c r="J248" s="2" t="str">
        <f>IF(D248="Empty Row", "Empty Row",
   IF(OR(
       _xlfn.XLOOKUP(B248, MasterTable[IRA Custodian], MasterTable[City], "")="",
       _xlfn.XLOOKUP(B248, MasterTable[IRA Custodian], MasterTable[State], "")="",
       _xlfn.XLOOKUP(B248, MasterTable[IRA Custodian], MasterTable[Zip], "")=""),
       "INCOMPLETE ADDRESS",
       _xlfn.CONCAT(
           _xlfn.XLOOKUP(B248, MasterTable[IRA Custodian], MasterTable[City], ""), ", ",
           _xlfn.XLOOKUP(B248, MasterTable[IRA Custodian], MasterTable[State], ""), " ",
           _xlfn.XLOOKUP(B248, MasterTable[IRA Custodian], MasterTable[Zip], "")
       )
   )
)</f>
        <v>Empty Row</v>
      </c>
    </row>
    <row r="249" spans="1:10" x14ac:dyDescent="0.25">
      <c r="A249" t="str">
        <f>IF(D249="Empty Row", "Empty Row",
   _xlfn.LET(
       _xlpm.lookupResult, _xlfn.XLOOKUP(D249, RawDataTable[Account Name and Number], RawDataTable[Entity], "RAW DATA MISSING"),
       IF(ISBLANK(_xlpm.lookupResult), "RAW DATA MISSING", _xlpm.lookupResult)
   )
)</f>
        <v>Empty Row</v>
      </c>
      <c r="B249" t="str">
        <f>IF(D249="Empty Row", "Empty Row",
   _xlfn.LET(
       _xlpm.rawDataLookup, _xlfn.XLOOKUP(D249,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49" s="56" t="str" cm="1">
        <f t="array" ref="C249">IF(D249="Empty Row", "Empty Row",
   IF(COUNTIF('Name Mapping'!H:AD, D249) &gt; 0,
      INDEX('Name Mapping'!F:F, MATCH(TRUE, MMULT(--('Name Mapping'!H:AD=D249), TRANSPOSE(COLUMN('Name Mapping'!H:AD)^0)) &gt; 0, 0)),
      "")
)</f>
        <v>Empty Row</v>
      </c>
      <c r="D249" t="str">
        <f>IF(RawDataTable[[#This Row],[Account Name and Number]]&lt;&gt;"", RawDataTable[[#This Row],[Account Name and Number]], "Empty Row")</f>
        <v>Empty Row</v>
      </c>
      <c r="E249" s="28" t="str">
        <f>IF(D249="Empty Row", "Empty Row",
   _xlfn.LET(
       _xlpm.lookupResult, _xlfn.XLOOKUP(D249, RawDataTable[Account Name and Number], RawDataTable[Investment Date], "MISSING VALUE"),
       IF(ISNUMBER(_xlpm.lookupResult), _xlpm.lookupResult, "INVALID VALUE")
   )
)</f>
        <v>Empty Row</v>
      </c>
      <c r="F249" s="29" t="str">
        <f>IF(D249="Empty Row", "Empty Row",
   _xlfn.LET(
       _xlpm.lookupResult, _xlfn.XLOOKUP(D249, RawDataTable[Account Name and Number], RawDataTable[Investment Amount], "MISSING VALUE"),
       IF(ISNUMBER(_xlpm.lookupResult), _xlpm.lookupResult, "INVALID VALUE")
   )
)</f>
        <v>Empty Row</v>
      </c>
      <c r="G249" s="28" t="str">
        <f t="shared" ca="1" si="3"/>
        <v>Empty Row</v>
      </c>
      <c r="H249" s="29" t="str">
        <f>IF(D249="Empty Row", "Empty Row",
   _xlfn.LET(
       _xlpm.lookupResult, _xlfn.XLOOKUP(D249, RawDataTable[Account Name and Number], RawDataTable[Valuation Amount], "MISSING VALUE"),
       IF(ISNUMBER(_xlpm.lookupResult), _xlpm.lookupResult, "INVALID VALUE")
   )
)</f>
        <v>Empty Row</v>
      </c>
      <c r="I249" s="2" t="str">
        <f>IF(D249="Empty Row", "Empty Row", IF(_xlfn.XLOOKUP(B249, MasterTable[IRA Custodian], MasterTable[Address], "")="", "NO STREET NAME FOUND", _xlfn.XLOOKUP(B249, MasterTable[IRA Custodian], MasterTable[Address], "")))</f>
        <v>Empty Row</v>
      </c>
      <c r="J249" s="2" t="str">
        <f>IF(D249="Empty Row", "Empty Row",
   IF(OR(
       _xlfn.XLOOKUP(B249, MasterTable[IRA Custodian], MasterTable[City], "")="",
       _xlfn.XLOOKUP(B249, MasterTable[IRA Custodian], MasterTable[State], "")="",
       _xlfn.XLOOKUP(B249, MasterTable[IRA Custodian], MasterTable[Zip], "")=""),
       "INCOMPLETE ADDRESS",
       _xlfn.CONCAT(
           _xlfn.XLOOKUP(B249, MasterTable[IRA Custodian], MasterTable[City], ""), ", ",
           _xlfn.XLOOKUP(B249, MasterTable[IRA Custodian], MasterTable[State], ""), " ",
           _xlfn.XLOOKUP(B249, MasterTable[IRA Custodian], MasterTable[Zip], "")
       )
   )
)</f>
        <v>Empty Row</v>
      </c>
    </row>
    <row r="250" spans="1:10" x14ac:dyDescent="0.25">
      <c r="A250" t="str">
        <f>IF(D250="Empty Row", "Empty Row",
   _xlfn.LET(
       _xlpm.lookupResult, _xlfn.XLOOKUP(D250, RawDataTable[Account Name and Number], RawDataTable[Entity], "RAW DATA MISSING"),
       IF(ISBLANK(_xlpm.lookupResult), "RAW DATA MISSING", _xlpm.lookupResult)
   )
)</f>
        <v>Empty Row</v>
      </c>
      <c r="B250" t="str">
        <f>IF(D250="Empty Row", "Empty Row",
   _xlfn.LET(
       _xlpm.rawDataLookup, _xlfn.XLOOKUP(D250,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50" s="56" t="str" cm="1">
        <f t="array" ref="C250">IF(D250="Empty Row", "Empty Row",
   IF(COUNTIF('Name Mapping'!H:AD, D250) &gt; 0,
      INDEX('Name Mapping'!F:F, MATCH(TRUE, MMULT(--('Name Mapping'!H:AD=D250), TRANSPOSE(COLUMN('Name Mapping'!H:AD)^0)) &gt; 0, 0)),
      "")
)</f>
        <v>Empty Row</v>
      </c>
      <c r="D250" t="str">
        <f>IF(RawDataTable[[#This Row],[Account Name and Number]]&lt;&gt;"", RawDataTable[[#This Row],[Account Name and Number]], "Empty Row")</f>
        <v>Empty Row</v>
      </c>
      <c r="E250" s="28" t="str">
        <f>IF(D250="Empty Row", "Empty Row",
   _xlfn.LET(
       _xlpm.lookupResult, _xlfn.XLOOKUP(D250, RawDataTable[Account Name and Number], RawDataTable[Investment Date], "MISSING VALUE"),
       IF(ISNUMBER(_xlpm.lookupResult), _xlpm.lookupResult, "INVALID VALUE")
   )
)</f>
        <v>Empty Row</v>
      </c>
      <c r="F250" s="29" t="str">
        <f>IF(D250="Empty Row", "Empty Row",
   _xlfn.LET(
       _xlpm.lookupResult, _xlfn.XLOOKUP(D250, RawDataTable[Account Name and Number], RawDataTable[Investment Amount], "MISSING VALUE"),
       IF(ISNUMBER(_xlpm.lookupResult), _xlpm.lookupResult, "INVALID VALUE")
   )
)</f>
        <v>Empty Row</v>
      </c>
      <c r="G250" s="28" t="str">
        <f t="shared" ca="1" si="3"/>
        <v>Empty Row</v>
      </c>
      <c r="H250" s="29" t="str">
        <f>IF(D250="Empty Row", "Empty Row",
   _xlfn.LET(
       _xlpm.lookupResult, _xlfn.XLOOKUP(D250, RawDataTable[Account Name and Number], RawDataTable[Valuation Amount], "MISSING VALUE"),
       IF(ISNUMBER(_xlpm.lookupResult), _xlpm.lookupResult, "INVALID VALUE")
   )
)</f>
        <v>Empty Row</v>
      </c>
      <c r="I250" s="2" t="str">
        <f>IF(D250="Empty Row", "Empty Row", IF(_xlfn.XLOOKUP(B250, MasterTable[IRA Custodian], MasterTable[Address], "")="", "NO STREET NAME FOUND", _xlfn.XLOOKUP(B250, MasterTable[IRA Custodian], MasterTable[Address], "")))</f>
        <v>Empty Row</v>
      </c>
      <c r="J250" s="2" t="str">
        <f>IF(D250="Empty Row", "Empty Row",
   IF(OR(
       _xlfn.XLOOKUP(B250, MasterTable[IRA Custodian], MasterTable[City], "")="",
       _xlfn.XLOOKUP(B250, MasterTable[IRA Custodian], MasterTable[State], "")="",
       _xlfn.XLOOKUP(B250, MasterTable[IRA Custodian], MasterTable[Zip], "")=""),
       "INCOMPLETE ADDRESS",
       _xlfn.CONCAT(
           _xlfn.XLOOKUP(B250, MasterTable[IRA Custodian], MasterTable[City], ""), ", ",
           _xlfn.XLOOKUP(B250, MasterTable[IRA Custodian], MasterTable[State], ""), " ",
           _xlfn.XLOOKUP(B250, MasterTable[IRA Custodian], MasterTable[Zip], "")
       )
   )
)</f>
        <v>Empty Row</v>
      </c>
    </row>
    <row r="251" spans="1:10" x14ac:dyDescent="0.25">
      <c r="A251" t="str">
        <f>IF(D251="Empty Row", "Empty Row",
   _xlfn.LET(
       _xlpm.lookupResult, _xlfn.XLOOKUP(D251, RawDataTable[Account Name and Number], RawDataTable[Entity], "RAW DATA MISSING"),
       IF(ISBLANK(_xlpm.lookupResult), "RAW DATA MISSING", _xlpm.lookupResult)
   )
)</f>
        <v>Empty Row</v>
      </c>
      <c r="B251" t="str">
        <f>IF(D251="Empty Row", "Empty Row",
   _xlfn.LET(
       _xlpm.rawDataLookup, _xlfn.XLOOKUP(D251,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51" s="56" t="str" cm="1">
        <f t="array" ref="C251">IF(D251="Empty Row", "Empty Row",
   IF(COUNTIF('Name Mapping'!H:AD, D251) &gt; 0,
      INDEX('Name Mapping'!F:F, MATCH(TRUE, MMULT(--('Name Mapping'!H:AD=D251), TRANSPOSE(COLUMN('Name Mapping'!H:AD)^0)) &gt; 0, 0)),
      "")
)</f>
        <v>Empty Row</v>
      </c>
      <c r="D251" t="str">
        <f>IF(RawDataTable[[#This Row],[Account Name and Number]]&lt;&gt;"", RawDataTable[[#This Row],[Account Name and Number]], "Empty Row")</f>
        <v>Empty Row</v>
      </c>
      <c r="E251" s="28" t="str">
        <f>IF(D251="Empty Row", "Empty Row",
   _xlfn.LET(
       _xlpm.lookupResult, _xlfn.XLOOKUP(D251, RawDataTable[Account Name and Number], RawDataTable[Investment Date], "MISSING VALUE"),
       IF(ISNUMBER(_xlpm.lookupResult), _xlpm.lookupResult, "INVALID VALUE")
   )
)</f>
        <v>Empty Row</v>
      </c>
      <c r="F251" s="29" t="str">
        <f>IF(D251="Empty Row", "Empty Row",
   _xlfn.LET(
       _xlpm.lookupResult, _xlfn.XLOOKUP(D251, RawDataTable[Account Name and Number], RawDataTable[Investment Amount], "MISSING VALUE"),
       IF(ISNUMBER(_xlpm.lookupResult), _xlpm.lookupResult, "INVALID VALUE")
   )
)</f>
        <v>Empty Row</v>
      </c>
      <c r="G251" s="28" t="str">
        <f t="shared" ca="1" si="3"/>
        <v>Empty Row</v>
      </c>
      <c r="H251" s="29" t="str">
        <f>IF(D251="Empty Row", "Empty Row",
   _xlfn.LET(
       _xlpm.lookupResult, _xlfn.XLOOKUP(D251, RawDataTable[Account Name and Number], RawDataTable[Valuation Amount], "MISSING VALUE"),
       IF(ISNUMBER(_xlpm.lookupResult), _xlpm.lookupResult, "INVALID VALUE")
   )
)</f>
        <v>Empty Row</v>
      </c>
      <c r="I251" s="2" t="str">
        <f>IF(D251="Empty Row", "Empty Row", IF(_xlfn.XLOOKUP(B251, MasterTable[IRA Custodian], MasterTable[Address], "")="", "NO STREET NAME FOUND", _xlfn.XLOOKUP(B251, MasterTable[IRA Custodian], MasterTable[Address], "")))</f>
        <v>Empty Row</v>
      </c>
      <c r="J251" s="2" t="str">
        <f>IF(D251="Empty Row", "Empty Row",
   IF(OR(
       _xlfn.XLOOKUP(B251, MasterTable[IRA Custodian], MasterTable[City], "")="",
       _xlfn.XLOOKUP(B251, MasterTable[IRA Custodian], MasterTable[State], "")="",
       _xlfn.XLOOKUP(B251, MasterTable[IRA Custodian], MasterTable[Zip], "")=""),
       "INCOMPLETE ADDRESS",
       _xlfn.CONCAT(
           _xlfn.XLOOKUP(B251, MasterTable[IRA Custodian], MasterTable[City], ""), ", ",
           _xlfn.XLOOKUP(B251, MasterTable[IRA Custodian], MasterTable[State], ""), " ",
           _xlfn.XLOOKUP(B251, MasterTable[IRA Custodian], MasterTable[Zip], "")
       )
   )
)</f>
        <v>Empty Row</v>
      </c>
    </row>
    <row r="252" spans="1:10" x14ac:dyDescent="0.25">
      <c r="A252" t="str">
        <f>IF(D252="Empty Row", "Empty Row",
   _xlfn.LET(
       _xlpm.lookupResult, _xlfn.XLOOKUP(D252, RawDataTable[Account Name and Number], RawDataTable[Entity], "RAW DATA MISSING"),
       IF(ISBLANK(_xlpm.lookupResult), "RAW DATA MISSING", _xlpm.lookupResult)
   )
)</f>
        <v>Empty Row</v>
      </c>
      <c r="B252" t="str">
        <f>IF(D252="Empty Row", "Empty Row",
   _xlfn.LET(
       _xlpm.rawDataLookup, _xlfn.XLOOKUP(D252,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52" s="56" t="str" cm="1">
        <f t="array" ref="C252">IF(D252="Empty Row", "Empty Row",
   IF(COUNTIF('Name Mapping'!H:AD, D252) &gt; 0,
      INDEX('Name Mapping'!F:F, MATCH(TRUE, MMULT(--('Name Mapping'!H:AD=D252), TRANSPOSE(COLUMN('Name Mapping'!H:AD)^0)) &gt; 0, 0)),
      "")
)</f>
        <v>Empty Row</v>
      </c>
      <c r="D252" t="str">
        <f>IF(RawDataTable[[#This Row],[Account Name and Number]]&lt;&gt;"", RawDataTable[[#This Row],[Account Name and Number]], "Empty Row")</f>
        <v>Empty Row</v>
      </c>
      <c r="E252" s="28" t="str">
        <f>IF(D252="Empty Row", "Empty Row",
   _xlfn.LET(
       _xlpm.lookupResult, _xlfn.XLOOKUP(D252, RawDataTable[Account Name and Number], RawDataTable[Investment Date], "MISSING VALUE"),
       IF(ISNUMBER(_xlpm.lookupResult), _xlpm.lookupResult, "INVALID VALUE")
   )
)</f>
        <v>Empty Row</v>
      </c>
      <c r="F252" s="29" t="str">
        <f>IF(D252="Empty Row", "Empty Row",
   _xlfn.LET(
       _xlpm.lookupResult, _xlfn.XLOOKUP(D252, RawDataTable[Account Name and Number], RawDataTable[Investment Amount], "MISSING VALUE"),
       IF(ISNUMBER(_xlpm.lookupResult), _xlpm.lookupResult, "INVALID VALUE")
   )
)</f>
        <v>Empty Row</v>
      </c>
      <c r="G252" s="28" t="str">
        <f t="shared" ca="1" si="3"/>
        <v>Empty Row</v>
      </c>
      <c r="H252" s="29" t="str">
        <f>IF(D252="Empty Row", "Empty Row",
   _xlfn.LET(
       _xlpm.lookupResult, _xlfn.XLOOKUP(D252, RawDataTable[Account Name and Number], RawDataTable[Valuation Amount], "MISSING VALUE"),
       IF(ISNUMBER(_xlpm.lookupResult), _xlpm.lookupResult, "INVALID VALUE")
   )
)</f>
        <v>Empty Row</v>
      </c>
      <c r="I252" s="2" t="str">
        <f>IF(D252="Empty Row", "Empty Row", IF(_xlfn.XLOOKUP(B252, MasterTable[IRA Custodian], MasterTable[Address], "")="", "NO STREET NAME FOUND", _xlfn.XLOOKUP(B252, MasterTable[IRA Custodian], MasterTable[Address], "")))</f>
        <v>Empty Row</v>
      </c>
      <c r="J252" s="2" t="str">
        <f>IF(D252="Empty Row", "Empty Row",
   IF(OR(
       _xlfn.XLOOKUP(B252, MasterTable[IRA Custodian], MasterTable[City], "")="",
       _xlfn.XLOOKUP(B252, MasterTable[IRA Custodian], MasterTable[State], "")="",
       _xlfn.XLOOKUP(B252, MasterTable[IRA Custodian], MasterTable[Zip], "")=""),
       "INCOMPLETE ADDRESS",
       _xlfn.CONCAT(
           _xlfn.XLOOKUP(B252, MasterTable[IRA Custodian], MasterTable[City], ""), ", ",
           _xlfn.XLOOKUP(B252, MasterTable[IRA Custodian], MasterTable[State], ""), " ",
           _xlfn.XLOOKUP(B252, MasterTable[IRA Custodian], MasterTable[Zip], "")
       )
   )
)</f>
        <v>Empty Row</v>
      </c>
    </row>
    <row r="253" spans="1:10" x14ac:dyDescent="0.25">
      <c r="A253" t="str">
        <f>IF(D253="Empty Row", "Empty Row",
   _xlfn.LET(
       _xlpm.lookupResult, _xlfn.XLOOKUP(D253, RawDataTable[Account Name and Number], RawDataTable[Entity], "RAW DATA MISSING"),
       IF(ISBLANK(_xlpm.lookupResult), "RAW DATA MISSING", _xlpm.lookupResult)
   )
)</f>
        <v>Empty Row</v>
      </c>
      <c r="B253" t="str">
        <f>IF(D253="Empty Row", "Empty Row",
   _xlfn.LET(
       _xlpm.rawDataLookup, _xlfn.XLOOKUP(D253,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53" s="56" t="str" cm="1">
        <f t="array" ref="C253">IF(D253="Empty Row", "Empty Row",
   IF(COUNTIF('Name Mapping'!H:AD, D253) &gt; 0,
      INDEX('Name Mapping'!F:F, MATCH(TRUE, MMULT(--('Name Mapping'!H:AD=D253), TRANSPOSE(COLUMN('Name Mapping'!H:AD)^0)) &gt; 0, 0)),
      "")
)</f>
        <v>Empty Row</v>
      </c>
      <c r="D253" t="str">
        <f>IF(RawDataTable[[#This Row],[Account Name and Number]]&lt;&gt;"", RawDataTable[[#This Row],[Account Name and Number]], "Empty Row")</f>
        <v>Empty Row</v>
      </c>
      <c r="E253" s="28" t="str">
        <f>IF(D253="Empty Row", "Empty Row",
   _xlfn.LET(
       _xlpm.lookupResult, _xlfn.XLOOKUP(D253, RawDataTable[Account Name and Number], RawDataTable[Investment Date], "MISSING VALUE"),
       IF(ISNUMBER(_xlpm.lookupResult), _xlpm.lookupResult, "INVALID VALUE")
   )
)</f>
        <v>Empty Row</v>
      </c>
      <c r="F253" s="29" t="str">
        <f>IF(D253="Empty Row", "Empty Row",
   _xlfn.LET(
       _xlpm.lookupResult, _xlfn.XLOOKUP(D253, RawDataTable[Account Name and Number], RawDataTable[Investment Amount], "MISSING VALUE"),
       IF(ISNUMBER(_xlpm.lookupResult), _xlpm.lookupResult, "INVALID VALUE")
   )
)</f>
        <v>Empty Row</v>
      </c>
      <c r="G253" s="28" t="str">
        <f t="shared" ca="1" si="3"/>
        <v>Empty Row</v>
      </c>
      <c r="H253" s="29" t="str">
        <f>IF(D253="Empty Row", "Empty Row",
   _xlfn.LET(
       _xlpm.lookupResult, _xlfn.XLOOKUP(D253, RawDataTable[Account Name and Number], RawDataTable[Valuation Amount], "MISSING VALUE"),
       IF(ISNUMBER(_xlpm.lookupResult), _xlpm.lookupResult, "INVALID VALUE")
   )
)</f>
        <v>Empty Row</v>
      </c>
      <c r="I253" s="2" t="str">
        <f>IF(D253="Empty Row", "Empty Row", IF(_xlfn.XLOOKUP(B253, MasterTable[IRA Custodian], MasterTable[Address], "")="", "NO STREET NAME FOUND", _xlfn.XLOOKUP(B253, MasterTable[IRA Custodian], MasterTable[Address], "")))</f>
        <v>Empty Row</v>
      </c>
      <c r="J253" s="2" t="str">
        <f>IF(D253="Empty Row", "Empty Row",
   IF(OR(
       _xlfn.XLOOKUP(B253, MasterTable[IRA Custodian], MasterTable[City], "")="",
       _xlfn.XLOOKUP(B253, MasterTable[IRA Custodian], MasterTable[State], "")="",
       _xlfn.XLOOKUP(B253, MasterTable[IRA Custodian], MasterTable[Zip], "")=""),
       "INCOMPLETE ADDRESS",
       _xlfn.CONCAT(
           _xlfn.XLOOKUP(B253, MasterTable[IRA Custodian], MasterTable[City], ""), ", ",
           _xlfn.XLOOKUP(B253, MasterTable[IRA Custodian], MasterTable[State], ""), " ",
           _xlfn.XLOOKUP(B253, MasterTable[IRA Custodian], MasterTable[Zip], "")
       )
   )
)</f>
        <v>Empty Row</v>
      </c>
    </row>
    <row r="254" spans="1:10" x14ac:dyDescent="0.25">
      <c r="A254" t="str">
        <f>IF(D254="Empty Row", "Empty Row",
   _xlfn.LET(
       _xlpm.lookupResult, _xlfn.XLOOKUP(D254, RawDataTable[Account Name and Number], RawDataTable[Entity], "RAW DATA MISSING"),
       IF(ISBLANK(_xlpm.lookupResult), "RAW DATA MISSING", _xlpm.lookupResult)
   )
)</f>
        <v>Empty Row</v>
      </c>
      <c r="B254" t="str">
        <f>IF(D254="Empty Row", "Empty Row",
   _xlfn.LET(
       _xlpm.rawDataLookup, _xlfn.XLOOKUP(D254,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54" s="56" t="str" cm="1">
        <f t="array" ref="C254">IF(D254="Empty Row", "Empty Row",
   IF(COUNTIF('Name Mapping'!H:AD, D254) &gt; 0,
      INDEX('Name Mapping'!F:F, MATCH(TRUE, MMULT(--('Name Mapping'!H:AD=D254), TRANSPOSE(COLUMN('Name Mapping'!H:AD)^0)) &gt; 0, 0)),
      "")
)</f>
        <v>Empty Row</v>
      </c>
      <c r="D254" t="str">
        <f>IF(RawDataTable[[#This Row],[Account Name and Number]]&lt;&gt;"", RawDataTable[[#This Row],[Account Name and Number]], "Empty Row")</f>
        <v>Empty Row</v>
      </c>
      <c r="E254" s="28" t="str">
        <f>IF(D254="Empty Row", "Empty Row",
   _xlfn.LET(
       _xlpm.lookupResult, _xlfn.XLOOKUP(D254, RawDataTable[Account Name and Number], RawDataTable[Investment Date], "MISSING VALUE"),
       IF(ISNUMBER(_xlpm.lookupResult), _xlpm.lookupResult, "INVALID VALUE")
   )
)</f>
        <v>Empty Row</v>
      </c>
      <c r="F254" s="29" t="str">
        <f>IF(D254="Empty Row", "Empty Row",
   _xlfn.LET(
       _xlpm.lookupResult, _xlfn.XLOOKUP(D254, RawDataTable[Account Name and Number], RawDataTable[Investment Amount], "MISSING VALUE"),
       IF(ISNUMBER(_xlpm.lookupResult), _xlpm.lookupResult, "INVALID VALUE")
   )
)</f>
        <v>Empty Row</v>
      </c>
      <c r="G254" s="28" t="str">
        <f t="shared" ca="1" si="3"/>
        <v>Empty Row</v>
      </c>
      <c r="H254" s="29" t="str">
        <f>IF(D254="Empty Row", "Empty Row",
   _xlfn.LET(
       _xlpm.lookupResult, _xlfn.XLOOKUP(D254, RawDataTable[Account Name and Number], RawDataTable[Valuation Amount], "MISSING VALUE"),
       IF(ISNUMBER(_xlpm.lookupResult), _xlpm.lookupResult, "INVALID VALUE")
   )
)</f>
        <v>Empty Row</v>
      </c>
      <c r="I254" s="2" t="str">
        <f>IF(D254="Empty Row", "Empty Row", IF(_xlfn.XLOOKUP(B254, MasterTable[IRA Custodian], MasterTable[Address], "")="", "NO STREET NAME FOUND", _xlfn.XLOOKUP(B254, MasterTable[IRA Custodian], MasterTable[Address], "")))</f>
        <v>Empty Row</v>
      </c>
      <c r="J254" s="2" t="str">
        <f>IF(D254="Empty Row", "Empty Row",
   IF(OR(
       _xlfn.XLOOKUP(B254, MasterTable[IRA Custodian], MasterTable[City], "")="",
       _xlfn.XLOOKUP(B254, MasterTable[IRA Custodian], MasterTable[State], "")="",
       _xlfn.XLOOKUP(B254, MasterTable[IRA Custodian], MasterTable[Zip], "")=""),
       "INCOMPLETE ADDRESS",
       _xlfn.CONCAT(
           _xlfn.XLOOKUP(B254, MasterTable[IRA Custodian], MasterTable[City], ""), ", ",
           _xlfn.XLOOKUP(B254, MasterTable[IRA Custodian], MasterTable[State], ""), " ",
           _xlfn.XLOOKUP(B254, MasterTable[IRA Custodian], MasterTable[Zip], "")
       )
   )
)</f>
        <v>Empty Row</v>
      </c>
    </row>
    <row r="255" spans="1:10" x14ac:dyDescent="0.25">
      <c r="A255" t="str">
        <f>IF(D255="Empty Row", "Empty Row",
   _xlfn.LET(
       _xlpm.lookupResult, _xlfn.XLOOKUP(D255, RawDataTable[Account Name and Number], RawDataTable[Entity], "RAW DATA MISSING"),
       IF(ISBLANK(_xlpm.lookupResult), "RAW DATA MISSING", _xlpm.lookupResult)
   )
)</f>
        <v>Empty Row</v>
      </c>
      <c r="B255" t="str">
        <f>IF(D255="Empty Row", "Empty Row",
   _xlfn.LET(
       _xlpm.rawDataLookup, _xlfn.XLOOKUP(D255,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55" s="56" t="str" cm="1">
        <f t="array" ref="C255">IF(D255="Empty Row", "Empty Row",
   IF(COUNTIF('Name Mapping'!H:AD, D255) &gt; 0,
      INDEX('Name Mapping'!F:F, MATCH(TRUE, MMULT(--('Name Mapping'!H:AD=D255), TRANSPOSE(COLUMN('Name Mapping'!H:AD)^0)) &gt; 0, 0)),
      "")
)</f>
        <v>Empty Row</v>
      </c>
      <c r="D255" t="str">
        <f>IF(RawDataTable[[#This Row],[Account Name and Number]]&lt;&gt;"", RawDataTable[[#This Row],[Account Name and Number]], "Empty Row")</f>
        <v>Empty Row</v>
      </c>
      <c r="E255" s="28" t="str">
        <f>IF(D255="Empty Row", "Empty Row",
   _xlfn.LET(
       _xlpm.lookupResult, _xlfn.XLOOKUP(D255, RawDataTable[Account Name and Number], RawDataTable[Investment Date], "MISSING VALUE"),
       IF(ISNUMBER(_xlpm.lookupResult), _xlpm.lookupResult, "INVALID VALUE")
   )
)</f>
        <v>Empty Row</v>
      </c>
      <c r="F255" s="29" t="str">
        <f>IF(D255="Empty Row", "Empty Row",
   _xlfn.LET(
       _xlpm.lookupResult, _xlfn.XLOOKUP(D255, RawDataTable[Account Name and Number], RawDataTable[Investment Amount], "MISSING VALUE"),
       IF(ISNUMBER(_xlpm.lookupResult), _xlpm.lookupResult, "INVALID VALUE")
   )
)</f>
        <v>Empty Row</v>
      </c>
      <c r="G255" s="28" t="str">
        <f t="shared" ca="1" si="3"/>
        <v>Empty Row</v>
      </c>
      <c r="H255" s="29" t="str">
        <f>IF(D255="Empty Row", "Empty Row",
   _xlfn.LET(
       _xlpm.lookupResult, _xlfn.XLOOKUP(D255, RawDataTable[Account Name and Number], RawDataTable[Valuation Amount], "MISSING VALUE"),
       IF(ISNUMBER(_xlpm.lookupResult), _xlpm.lookupResult, "INVALID VALUE")
   )
)</f>
        <v>Empty Row</v>
      </c>
      <c r="I255" s="2" t="str">
        <f>IF(D255="Empty Row", "Empty Row", IF(_xlfn.XLOOKUP(B255, MasterTable[IRA Custodian], MasterTable[Address], "")="", "NO STREET NAME FOUND", _xlfn.XLOOKUP(B255, MasterTable[IRA Custodian], MasterTable[Address], "")))</f>
        <v>Empty Row</v>
      </c>
      <c r="J255" s="2" t="str">
        <f>IF(D255="Empty Row", "Empty Row",
   IF(OR(
       _xlfn.XLOOKUP(B255, MasterTable[IRA Custodian], MasterTable[City], "")="",
       _xlfn.XLOOKUP(B255, MasterTable[IRA Custodian], MasterTable[State], "")="",
       _xlfn.XLOOKUP(B255, MasterTable[IRA Custodian], MasterTable[Zip], "")=""),
       "INCOMPLETE ADDRESS",
       _xlfn.CONCAT(
           _xlfn.XLOOKUP(B255, MasterTable[IRA Custodian], MasterTable[City], ""), ", ",
           _xlfn.XLOOKUP(B255, MasterTable[IRA Custodian], MasterTable[State], ""), " ",
           _xlfn.XLOOKUP(B255, MasterTable[IRA Custodian], MasterTable[Zip], "")
       )
   )
)</f>
        <v>Empty Row</v>
      </c>
    </row>
    <row r="256" spans="1:10" x14ac:dyDescent="0.25">
      <c r="A256" t="str">
        <f>IF(D256="Empty Row", "Empty Row",
   _xlfn.LET(
       _xlpm.lookupResult, _xlfn.XLOOKUP(D256, RawDataTable[Account Name and Number], RawDataTable[Entity], "RAW DATA MISSING"),
       IF(ISBLANK(_xlpm.lookupResult), "RAW DATA MISSING", _xlpm.lookupResult)
   )
)</f>
        <v>Empty Row</v>
      </c>
      <c r="B256" t="str">
        <f>IF(D256="Empty Row", "Empty Row",
   _xlfn.LET(
       _xlpm.rawDataLookup, _xlfn.XLOOKUP(D256,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56" s="56" t="str" cm="1">
        <f t="array" ref="C256">IF(D256="Empty Row", "Empty Row",
   IF(COUNTIF('Name Mapping'!H:AD, D256) &gt; 0,
      INDEX('Name Mapping'!F:F, MATCH(TRUE, MMULT(--('Name Mapping'!H:AD=D256), TRANSPOSE(COLUMN('Name Mapping'!H:AD)^0)) &gt; 0, 0)),
      "")
)</f>
        <v>Empty Row</v>
      </c>
      <c r="D256" t="str">
        <f>IF(RawDataTable[[#This Row],[Account Name and Number]]&lt;&gt;"", RawDataTable[[#This Row],[Account Name and Number]], "Empty Row")</f>
        <v>Empty Row</v>
      </c>
      <c r="E256" s="28" t="str">
        <f>IF(D256="Empty Row", "Empty Row",
   _xlfn.LET(
       _xlpm.lookupResult, _xlfn.XLOOKUP(D256, RawDataTable[Account Name and Number], RawDataTable[Investment Date], "MISSING VALUE"),
       IF(ISNUMBER(_xlpm.lookupResult), _xlpm.lookupResult, "INVALID VALUE")
   )
)</f>
        <v>Empty Row</v>
      </c>
      <c r="F256" s="29" t="str">
        <f>IF(D256="Empty Row", "Empty Row",
   _xlfn.LET(
       _xlpm.lookupResult, _xlfn.XLOOKUP(D256, RawDataTable[Account Name and Number], RawDataTable[Investment Amount], "MISSING VALUE"),
       IF(ISNUMBER(_xlpm.lookupResult), _xlpm.lookupResult, "INVALID VALUE")
   )
)</f>
        <v>Empty Row</v>
      </c>
      <c r="G256" s="28" t="str">
        <f t="shared" ca="1" si="3"/>
        <v>Empty Row</v>
      </c>
      <c r="H256" s="29" t="str">
        <f>IF(D256="Empty Row", "Empty Row",
   _xlfn.LET(
       _xlpm.lookupResult, _xlfn.XLOOKUP(D256, RawDataTable[Account Name and Number], RawDataTable[Valuation Amount], "MISSING VALUE"),
       IF(ISNUMBER(_xlpm.lookupResult), _xlpm.lookupResult, "INVALID VALUE")
   )
)</f>
        <v>Empty Row</v>
      </c>
      <c r="I256" s="2" t="str">
        <f>IF(D256="Empty Row", "Empty Row", IF(_xlfn.XLOOKUP(B256, MasterTable[IRA Custodian], MasterTable[Address], "")="", "NO STREET NAME FOUND", _xlfn.XLOOKUP(B256, MasterTable[IRA Custodian], MasterTable[Address], "")))</f>
        <v>Empty Row</v>
      </c>
      <c r="J256" s="2" t="str">
        <f>IF(D256="Empty Row", "Empty Row",
   IF(OR(
       _xlfn.XLOOKUP(B256, MasterTable[IRA Custodian], MasterTable[City], "")="",
       _xlfn.XLOOKUP(B256, MasterTable[IRA Custodian], MasterTable[State], "")="",
       _xlfn.XLOOKUP(B256, MasterTable[IRA Custodian], MasterTable[Zip], "")=""),
       "INCOMPLETE ADDRESS",
       _xlfn.CONCAT(
           _xlfn.XLOOKUP(B256, MasterTable[IRA Custodian], MasterTable[City], ""), ", ",
           _xlfn.XLOOKUP(B256, MasterTable[IRA Custodian], MasterTable[State], ""), " ",
           _xlfn.XLOOKUP(B256, MasterTable[IRA Custodian], MasterTable[Zip], "")
       )
   )
)</f>
        <v>Empty Row</v>
      </c>
    </row>
    <row r="257" spans="1:10" x14ac:dyDescent="0.25">
      <c r="A257" t="str">
        <f>IF(D257="Empty Row", "Empty Row",
   _xlfn.LET(
       _xlpm.lookupResult, _xlfn.XLOOKUP(D257, RawDataTable[Account Name and Number], RawDataTable[Entity], "RAW DATA MISSING"),
       IF(ISBLANK(_xlpm.lookupResult), "RAW DATA MISSING", _xlpm.lookupResult)
   )
)</f>
        <v>Empty Row</v>
      </c>
      <c r="B257" t="str">
        <f>IF(D257="Empty Row", "Empty Row",
   _xlfn.LET(
       _xlpm.rawDataLookup, _xlfn.XLOOKUP(D257,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57" s="56" t="str" cm="1">
        <f t="array" ref="C257">IF(D257="Empty Row", "Empty Row",
   IF(COUNTIF('Name Mapping'!H:AD, D257) &gt; 0,
      INDEX('Name Mapping'!F:F, MATCH(TRUE, MMULT(--('Name Mapping'!H:AD=D257), TRANSPOSE(COLUMN('Name Mapping'!H:AD)^0)) &gt; 0, 0)),
      "")
)</f>
        <v>Empty Row</v>
      </c>
      <c r="D257" t="str">
        <f>IF(RawDataTable[[#This Row],[Account Name and Number]]&lt;&gt;"", RawDataTable[[#This Row],[Account Name and Number]], "Empty Row")</f>
        <v>Empty Row</v>
      </c>
      <c r="E257" s="28" t="str">
        <f>IF(D257="Empty Row", "Empty Row",
   _xlfn.LET(
       _xlpm.lookupResult, _xlfn.XLOOKUP(D257, RawDataTable[Account Name and Number], RawDataTable[Investment Date], "MISSING VALUE"),
       IF(ISNUMBER(_xlpm.lookupResult), _xlpm.lookupResult, "INVALID VALUE")
   )
)</f>
        <v>Empty Row</v>
      </c>
      <c r="F257" s="29" t="str">
        <f>IF(D257="Empty Row", "Empty Row",
   _xlfn.LET(
       _xlpm.lookupResult, _xlfn.XLOOKUP(D257, RawDataTable[Account Name and Number], RawDataTable[Investment Amount], "MISSING VALUE"),
       IF(ISNUMBER(_xlpm.lookupResult), _xlpm.lookupResult, "INVALID VALUE")
   )
)</f>
        <v>Empty Row</v>
      </c>
      <c r="G257" s="28" t="str">
        <f t="shared" ca="1" si="3"/>
        <v>Empty Row</v>
      </c>
      <c r="H257" s="29" t="str">
        <f>IF(D257="Empty Row", "Empty Row",
   _xlfn.LET(
       _xlpm.lookupResult, _xlfn.XLOOKUP(D257, RawDataTable[Account Name and Number], RawDataTable[Valuation Amount], "MISSING VALUE"),
       IF(ISNUMBER(_xlpm.lookupResult), _xlpm.lookupResult, "INVALID VALUE")
   )
)</f>
        <v>Empty Row</v>
      </c>
      <c r="I257" s="2" t="str">
        <f>IF(D257="Empty Row", "Empty Row", IF(_xlfn.XLOOKUP(B257, MasterTable[IRA Custodian], MasterTable[Address], "")="", "NO STREET NAME FOUND", _xlfn.XLOOKUP(B257, MasterTable[IRA Custodian], MasterTable[Address], "")))</f>
        <v>Empty Row</v>
      </c>
      <c r="J257" s="2" t="str">
        <f>IF(D257="Empty Row", "Empty Row",
   IF(OR(
       _xlfn.XLOOKUP(B257, MasterTable[IRA Custodian], MasterTable[City], "")="",
       _xlfn.XLOOKUP(B257, MasterTable[IRA Custodian], MasterTable[State], "")="",
       _xlfn.XLOOKUP(B257, MasterTable[IRA Custodian], MasterTable[Zip], "")=""),
       "INCOMPLETE ADDRESS",
       _xlfn.CONCAT(
           _xlfn.XLOOKUP(B257, MasterTable[IRA Custodian], MasterTable[City], ""), ", ",
           _xlfn.XLOOKUP(B257, MasterTable[IRA Custodian], MasterTable[State], ""), " ",
           _xlfn.XLOOKUP(B257, MasterTable[IRA Custodian], MasterTable[Zip], "")
       )
   )
)</f>
        <v>Empty Row</v>
      </c>
    </row>
    <row r="258" spans="1:10" x14ac:dyDescent="0.25">
      <c r="A258" t="str">
        <f>IF(D258="Empty Row", "Empty Row",
   _xlfn.LET(
       _xlpm.lookupResult, _xlfn.XLOOKUP(D258, RawDataTable[Account Name and Number], RawDataTable[Entity], "RAW DATA MISSING"),
       IF(ISBLANK(_xlpm.lookupResult), "RAW DATA MISSING", _xlpm.lookupResult)
   )
)</f>
        <v>Empty Row</v>
      </c>
      <c r="B258" t="str">
        <f>IF(D258="Empty Row", "Empty Row",
   _xlfn.LET(
       _xlpm.rawDataLookup, _xlfn.XLOOKUP(D258,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58" s="56" t="str" cm="1">
        <f t="array" ref="C258">IF(D258="Empty Row", "Empty Row",
   IF(COUNTIF('Name Mapping'!H:AD, D258) &gt; 0,
      INDEX('Name Mapping'!F:F, MATCH(TRUE, MMULT(--('Name Mapping'!H:AD=D258), TRANSPOSE(COLUMN('Name Mapping'!H:AD)^0)) &gt; 0, 0)),
      "")
)</f>
        <v>Empty Row</v>
      </c>
      <c r="D258" t="str">
        <f>IF(RawDataTable[[#This Row],[Account Name and Number]]&lt;&gt;"", RawDataTable[[#This Row],[Account Name and Number]], "Empty Row")</f>
        <v>Empty Row</v>
      </c>
      <c r="E258" s="28" t="str">
        <f>IF(D258="Empty Row", "Empty Row",
   _xlfn.LET(
       _xlpm.lookupResult, _xlfn.XLOOKUP(D258, RawDataTable[Account Name and Number], RawDataTable[Investment Date], "MISSING VALUE"),
       IF(ISNUMBER(_xlpm.lookupResult), _xlpm.lookupResult, "INVALID VALUE")
   )
)</f>
        <v>Empty Row</v>
      </c>
      <c r="F258" s="29" t="str">
        <f>IF(D258="Empty Row", "Empty Row",
   _xlfn.LET(
       _xlpm.lookupResult, _xlfn.XLOOKUP(D258, RawDataTable[Account Name and Number], RawDataTable[Investment Amount], "MISSING VALUE"),
       IF(ISNUMBER(_xlpm.lookupResult), _xlpm.lookupResult, "INVALID VALUE")
   )
)</f>
        <v>Empty Row</v>
      </c>
      <c r="G258" s="28" t="str">
        <f t="shared" ca="1" si="3"/>
        <v>Empty Row</v>
      </c>
      <c r="H258" s="29" t="str">
        <f>IF(D258="Empty Row", "Empty Row",
   _xlfn.LET(
       _xlpm.lookupResult, _xlfn.XLOOKUP(D258, RawDataTable[Account Name and Number], RawDataTable[Valuation Amount], "MISSING VALUE"),
       IF(ISNUMBER(_xlpm.lookupResult), _xlpm.lookupResult, "INVALID VALUE")
   )
)</f>
        <v>Empty Row</v>
      </c>
      <c r="I258" s="2" t="str">
        <f>IF(D258="Empty Row", "Empty Row", IF(_xlfn.XLOOKUP(B258, MasterTable[IRA Custodian], MasterTable[Address], "")="", "NO STREET NAME FOUND", _xlfn.XLOOKUP(B258, MasterTable[IRA Custodian], MasterTable[Address], "")))</f>
        <v>Empty Row</v>
      </c>
      <c r="J258" s="2" t="str">
        <f>IF(D258="Empty Row", "Empty Row",
   IF(OR(
       _xlfn.XLOOKUP(B258, MasterTable[IRA Custodian], MasterTable[City], "")="",
       _xlfn.XLOOKUP(B258, MasterTable[IRA Custodian], MasterTable[State], "")="",
       _xlfn.XLOOKUP(B258, MasterTable[IRA Custodian], MasterTable[Zip], "")=""),
       "INCOMPLETE ADDRESS",
       _xlfn.CONCAT(
           _xlfn.XLOOKUP(B258, MasterTable[IRA Custodian], MasterTable[City], ""), ", ",
           _xlfn.XLOOKUP(B258, MasterTable[IRA Custodian], MasterTable[State], ""), " ",
           _xlfn.XLOOKUP(B258, MasterTable[IRA Custodian], MasterTable[Zip], "")
       )
   )
)</f>
        <v>Empty Row</v>
      </c>
    </row>
    <row r="259" spans="1:10" x14ac:dyDescent="0.25">
      <c r="A259" t="str">
        <f>IF(D259="Empty Row", "Empty Row",
   _xlfn.LET(
       _xlpm.lookupResult, _xlfn.XLOOKUP(D259, RawDataTable[Account Name and Number], RawDataTable[Entity], "RAW DATA MISSING"),
       IF(ISBLANK(_xlpm.lookupResult), "RAW DATA MISSING", _xlpm.lookupResult)
   )
)</f>
        <v>Empty Row</v>
      </c>
      <c r="B259" t="str">
        <f>IF(D259="Empty Row", "Empty Row",
   _xlfn.LET(
       _xlpm.rawDataLookup, _xlfn.XLOOKUP(D259,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59" s="56" t="str" cm="1">
        <f t="array" ref="C259">IF(D259="Empty Row", "Empty Row",
   IF(COUNTIF('Name Mapping'!H:AD, D259) &gt; 0,
      INDEX('Name Mapping'!F:F, MATCH(TRUE, MMULT(--('Name Mapping'!H:AD=D259), TRANSPOSE(COLUMN('Name Mapping'!H:AD)^0)) &gt; 0, 0)),
      "")
)</f>
        <v>Empty Row</v>
      </c>
      <c r="D259" t="str">
        <f>IF(RawDataTable[[#This Row],[Account Name and Number]]&lt;&gt;"", RawDataTable[[#This Row],[Account Name and Number]], "Empty Row")</f>
        <v>Empty Row</v>
      </c>
      <c r="E259" s="28" t="str">
        <f>IF(D259="Empty Row", "Empty Row",
   _xlfn.LET(
       _xlpm.lookupResult, _xlfn.XLOOKUP(D259, RawDataTable[Account Name and Number], RawDataTable[Investment Date], "MISSING VALUE"),
       IF(ISNUMBER(_xlpm.lookupResult), _xlpm.lookupResult, "INVALID VALUE")
   )
)</f>
        <v>Empty Row</v>
      </c>
      <c r="F259" s="29" t="str">
        <f>IF(D259="Empty Row", "Empty Row",
   _xlfn.LET(
       _xlpm.lookupResult, _xlfn.XLOOKUP(D259, RawDataTable[Account Name and Number], RawDataTable[Investment Amount], "MISSING VALUE"),
       IF(ISNUMBER(_xlpm.lookupResult), _xlpm.lookupResult, "INVALID VALUE")
   )
)</f>
        <v>Empty Row</v>
      </c>
      <c r="G259" s="28" t="str">
        <f t="shared" ref="G259:G322" ca="1" si="4">IF(D259="Empty Row", "Empty Row",
   IF(ISNUMBER(TODAY()), TODAY(), "INVALID VALUE")
)</f>
        <v>Empty Row</v>
      </c>
      <c r="H259" s="29" t="str">
        <f>IF(D259="Empty Row", "Empty Row",
   _xlfn.LET(
       _xlpm.lookupResult, _xlfn.XLOOKUP(D259, RawDataTable[Account Name and Number], RawDataTable[Valuation Amount], "MISSING VALUE"),
       IF(ISNUMBER(_xlpm.lookupResult), _xlpm.lookupResult, "INVALID VALUE")
   )
)</f>
        <v>Empty Row</v>
      </c>
      <c r="I259" s="2" t="str">
        <f>IF(D259="Empty Row", "Empty Row", IF(_xlfn.XLOOKUP(B259, MasterTable[IRA Custodian], MasterTable[Address], "")="", "NO STREET NAME FOUND", _xlfn.XLOOKUP(B259, MasterTable[IRA Custodian], MasterTable[Address], "")))</f>
        <v>Empty Row</v>
      </c>
      <c r="J259" s="2" t="str">
        <f>IF(D259="Empty Row", "Empty Row",
   IF(OR(
       _xlfn.XLOOKUP(B259, MasterTable[IRA Custodian], MasterTable[City], "")="",
       _xlfn.XLOOKUP(B259, MasterTable[IRA Custodian], MasterTable[State], "")="",
       _xlfn.XLOOKUP(B259, MasterTable[IRA Custodian], MasterTable[Zip], "")=""),
       "INCOMPLETE ADDRESS",
       _xlfn.CONCAT(
           _xlfn.XLOOKUP(B259, MasterTable[IRA Custodian], MasterTable[City], ""), ", ",
           _xlfn.XLOOKUP(B259, MasterTable[IRA Custodian], MasterTable[State], ""), " ",
           _xlfn.XLOOKUP(B259, MasterTable[IRA Custodian], MasterTable[Zip], "")
       )
   )
)</f>
        <v>Empty Row</v>
      </c>
    </row>
    <row r="260" spans="1:10" x14ac:dyDescent="0.25">
      <c r="A260" t="str">
        <f>IF(D260="Empty Row", "Empty Row",
   _xlfn.LET(
       _xlpm.lookupResult, _xlfn.XLOOKUP(D260, RawDataTable[Account Name and Number], RawDataTable[Entity], "RAW DATA MISSING"),
       IF(ISBLANK(_xlpm.lookupResult), "RAW DATA MISSING", _xlpm.lookupResult)
   )
)</f>
        <v>Empty Row</v>
      </c>
      <c r="B260" t="str">
        <f>IF(D260="Empty Row", "Empty Row",
   _xlfn.LET(
       _xlpm.rawDataLookup, _xlfn.XLOOKUP(D260,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60" s="56" t="str" cm="1">
        <f t="array" ref="C260">IF(D260="Empty Row", "Empty Row",
   IF(COUNTIF('Name Mapping'!H:AD, D260) &gt; 0,
      INDEX('Name Mapping'!F:F, MATCH(TRUE, MMULT(--('Name Mapping'!H:AD=D260), TRANSPOSE(COLUMN('Name Mapping'!H:AD)^0)) &gt; 0, 0)),
      "")
)</f>
        <v>Empty Row</v>
      </c>
      <c r="D260" t="str">
        <f>IF(RawDataTable[[#This Row],[Account Name and Number]]&lt;&gt;"", RawDataTable[[#This Row],[Account Name and Number]], "Empty Row")</f>
        <v>Empty Row</v>
      </c>
      <c r="E260" s="28" t="str">
        <f>IF(D260="Empty Row", "Empty Row",
   _xlfn.LET(
       _xlpm.lookupResult, _xlfn.XLOOKUP(D260, RawDataTable[Account Name and Number], RawDataTable[Investment Date], "MISSING VALUE"),
       IF(ISNUMBER(_xlpm.lookupResult), _xlpm.lookupResult, "INVALID VALUE")
   )
)</f>
        <v>Empty Row</v>
      </c>
      <c r="F260" s="29" t="str">
        <f>IF(D260="Empty Row", "Empty Row",
   _xlfn.LET(
       _xlpm.lookupResult, _xlfn.XLOOKUP(D260, RawDataTable[Account Name and Number], RawDataTable[Investment Amount], "MISSING VALUE"),
       IF(ISNUMBER(_xlpm.lookupResult), _xlpm.lookupResult, "INVALID VALUE")
   )
)</f>
        <v>Empty Row</v>
      </c>
      <c r="G260" s="28" t="str">
        <f t="shared" ca="1" si="4"/>
        <v>Empty Row</v>
      </c>
      <c r="H260" s="29" t="str">
        <f>IF(D260="Empty Row", "Empty Row",
   _xlfn.LET(
       _xlpm.lookupResult, _xlfn.XLOOKUP(D260, RawDataTable[Account Name and Number], RawDataTable[Valuation Amount], "MISSING VALUE"),
       IF(ISNUMBER(_xlpm.lookupResult), _xlpm.lookupResult, "INVALID VALUE")
   )
)</f>
        <v>Empty Row</v>
      </c>
      <c r="I260" s="2" t="str">
        <f>IF(D260="Empty Row", "Empty Row", IF(_xlfn.XLOOKUP(B260, MasterTable[IRA Custodian], MasterTable[Address], "")="", "NO STREET NAME FOUND", _xlfn.XLOOKUP(B260, MasterTable[IRA Custodian], MasterTable[Address], "")))</f>
        <v>Empty Row</v>
      </c>
      <c r="J260" s="2" t="str">
        <f>IF(D260="Empty Row", "Empty Row",
   IF(OR(
       _xlfn.XLOOKUP(B260, MasterTable[IRA Custodian], MasterTable[City], "")="",
       _xlfn.XLOOKUP(B260, MasterTable[IRA Custodian], MasterTable[State], "")="",
       _xlfn.XLOOKUP(B260, MasterTable[IRA Custodian], MasterTable[Zip], "")=""),
       "INCOMPLETE ADDRESS",
       _xlfn.CONCAT(
           _xlfn.XLOOKUP(B260, MasterTable[IRA Custodian], MasterTable[City], ""), ", ",
           _xlfn.XLOOKUP(B260, MasterTable[IRA Custodian], MasterTable[State], ""), " ",
           _xlfn.XLOOKUP(B260, MasterTable[IRA Custodian], MasterTable[Zip], "")
       )
   )
)</f>
        <v>Empty Row</v>
      </c>
    </row>
    <row r="261" spans="1:10" x14ac:dyDescent="0.25">
      <c r="A261" t="str">
        <f>IF(D261="Empty Row", "Empty Row",
   _xlfn.LET(
       _xlpm.lookupResult, _xlfn.XLOOKUP(D261, RawDataTable[Account Name and Number], RawDataTable[Entity], "RAW DATA MISSING"),
       IF(ISBLANK(_xlpm.lookupResult), "RAW DATA MISSING", _xlpm.lookupResult)
   )
)</f>
        <v>Empty Row</v>
      </c>
      <c r="B261" t="str">
        <f>IF(D261="Empty Row", "Empty Row",
   _xlfn.LET(
       _xlpm.rawDataLookup, _xlfn.XLOOKUP(D261,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61" s="56" t="str" cm="1">
        <f t="array" ref="C261">IF(D261="Empty Row", "Empty Row",
   IF(COUNTIF('Name Mapping'!H:AD, D261) &gt; 0,
      INDEX('Name Mapping'!F:F, MATCH(TRUE, MMULT(--('Name Mapping'!H:AD=D261), TRANSPOSE(COLUMN('Name Mapping'!H:AD)^0)) &gt; 0, 0)),
      "")
)</f>
        <v>Empty Row</v>
      </c>
      <c r="D261" t="str">
        <f>IF(RawDataTable[[#This Row],[Account Name and Number]]&lt;&gt;"", RawDataTable[[#This Row],[Account Name and Number]], "Empty Row")</f>
        <v>Empty Row</v>
      </c>
      <c r="E261" s="28" t="str">
        <f>IF(D261="Empty Row", "Empty Row",
   _xlfn.LET(
       _xlpm.lookupResult, _xlfn.XLOOKUP(D261, RawDataTable[Account Name and Number], RawDataTable[Investment Date], "MISSING VALUE"),
       IF(ISNUMBER(_xlpm.lookupResult), _xlpm.lookupResult, "INVALID VALUE")
   )
)</f>
        <v>Empty Row</v>
      </c>
      <c r="F261" s="29" t="str">
        <f>IF(D261="Empty Row", "Empty Row",
   _xlfn.LET(
       _xlpm.lookupResult, _xlfn.XLOOKUP(D261, RawDataTable[Account Name and Number], RawDataTable[Investment Amount], "MISSING VALUE"),
       IF(ISNUMBER(_xlpm.lookupResult), _xlpm.lookupResult, "INVALID VALUE")
   )
)</f>
        <v>Empty Row</v>
      </c>
      <c r="G261" s="28" t="str">
        <f t="shared" ca="1" si="4"/>
        <v>Empty Row</v>
      </c>
      <c r="H261" s="29" t="str">
        <f>IF(D261="Empty Row", "Empty Row",
   _xlfn.LET(
       _xlpm.lookupResult, _xlfn.XLOOKUP(D261, RawDataTable[Account Name and Number], RawDataTable[Valuation Amount], "MISSING VALUE"),
       IF(ISNUMBER(_xlpm.lookupResult), _xlpm.lookupResult, "INVALID VALUE")
   )
)</f>
        <v>Empty Row</v>
      </c>
      <c r="I261" s="2" t="str">
        <f>IF(D261="Empty Row", "Empty Row", IF(_xlfn.XLOOKUP(B261, MasterTable[IRA Custodian], MasterTable[Address], "")="", "NO STREET NAME FOUND", _xlfn.XLOOKUP(B261, MasterTable[IRA Custodian], MasterTable[Address], "")))</f>
        <v>Empty Row</v>
      </c>
      <c r="J261" s="2" t="str">
        <f>IF(D261="Empty Row", "Empty Row",
   IF(OR(
       _xlfn.XLOOKUP(B261, MasterTable[IRA Custodian], MasterTable[City], "")="",
       _xlfn.XLOOKUP(B261, MasterTable[IRA Custodian], MasterTable[State], "")="",
       _xlfn.XLOOKUP(B261, MasterTable[IRA Custodian], MasterTable[Zip], "")=""),
       "INCOMPLETE ADDRESS",
       _xlfn.CONCAT(
           _xlfn.XLOOKUP(B261, MasterTable[IRA Custodian], MasterTable[City], ""), ", ",
           _xlfn.XLOOKUP(B261, MasterTable[IRA Custodian], MasterTable[State], ""), " ",
           _xlfn.XLOOKUP(B261, MasterTable[IRA Custodian], MasterTable[Zip], "")
       )
   )
)</f>
        <v>Empty Row</v>
      </c>
    </row>
    <row r="262" spans="1:10" x14ac:dyDescent="0.25">
      <c r="A262" t="str">
        <f>IF(D262="Empty Row", "Empty Row",
   _xlfn.LET(
       _xlpm.lookupResult, _xlfn.XLOOKUP(D262, RawDataTable[Account Name and Number], RawDataTable[Entity], "RAW DATA MISSING"),
       IF(ISBLANK(_xlpm.lookupResult), "RAW DATA MISSING", _xlpm.lookupResult)
   )
)</f>
        <v>Empty Row</v>
      </c>
      <c r="B262" t="str">
        <f>IF(D262="Empty Row", "Empty Row",
   _xlfn.LET(
       _xlpm.rawDataLookup, _xlfn.XLOOKUP(D262,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62" s="56" t="str" cm="1">
        <f t="array" ref="C262">IF(D262="Empty Row", "Empty Row",
   IF(COUNTIF('Name Mapping'!H:AD, D262) &gt; 0,
      INDEX('Name Mapping'!F:F, MATCH(TRUE, MMULT(--('Name Mapping'!H:AD=D262), TRANSPOSE(COLUMN('Name Mapping'!H:AD)^0)) &gt; 0, 0)),
      "")
)</f>
        <v>Empty Row</v>
      </c>
      <c r="D262" t="str">
        <f>IF(RawDataTable[[#This Row],[Account Name and Number]]&lt;&gt;"", RawDataTable[[#This Row],[Account Name and Number]], "Empty Row")</f>
        <v>Empty Row</v>
      </c>
      <c r="E262" s="28" t="str">
        <f>IF(D262="Empty Row", "Empty Row",
   _xlfn.LET(
       _xlpm.lookupResult, _xlfn.XLOOKUP(D262, RawDataTable[Account Name and Number], RawDataTable[Investment Date], "MISSING VALUE"),
       IF(ISNUMBER(_xlpm.lookupResult), _xlpm.lookupResult, "INVALID VALUE")
   )
)</f>
        <v>Empty Row</v>
      </c>
      <c r="F262" s="29" t="str">
        <f>IF(D262="Empty Row", "Empty Row",
   _xlfn.LET(
       _xlpm.lookupResult, _xlfn.XLOOKUP(D262, RawDataTable[Account Name and Number], RawDataTable[Investment Amount], "MISSING VALUE"),
       IF(ISNUMBER(_xlpm.lookupResult), _xlpm.lookupResult, "INVALID VALUE")
   )
)</f>
        <v>Empty Row</v>
      </c>
      <c r="G262" s="28" t="str">
        <f t="shared" ca="1" si="4"/>
        <v>Empty Row</v>
      </c>
      <c r="H262" s="29" t="str">
        <f>IF(D262="Empty Row", "Empty Row",
   _xlfn.LET(
       _xlpm.lookupResult, _xlfn.XLOOKUP(D262, RawDataTable[Account Name and Number], RawDataTable[Valuation Amount], "MISSING VALUE"),
       IF(ISNUMBER(_xlpm.lookupResult), _xlpm.lookupResult, "INVALID VALUE")
   )
)</f>
        <v>Empty Row</v>
      </c>
      <c r="I262" s="2" t="str">
        <f>IF(D262="Empty Row", "Empty Row", IF(_xlfn.XLOOKUP(B262, MasterTable[IRA Custodian], MasterTable[Address], "")="", "NO STREET NAME FOUND", _xlfn.XLOOKUP(B262, MasterTable[IRA Custodian], MasterTable[Address], "")))</f>
        <v>Empty Row</v>
      </c>
      <c r="J262" s="2" t="str">
        <f>IF(D262="Empty Row", "Empty Row",
   IF(OR(
       _xlfn.XLOOKUP(B262, MasterTable[IRA Custodian], MasterTable[City], "")="",
       _xlfn.XLOOKUP(B262, MasterTable[IRA Custodian], MasterTable[State], "")="",
       _xlfn.XLOOKUP(B262, MasterTable[IRA Custodian], MasterTable[Zip], "")=""),
       "INCOMPLETE ADDRESS",
       _xlfn.CONCAT(
           _xlfn.XLOOKUP(B262, MasterTable[IRA Custodian], MasterTable[City], ""), ", ",
           _xlfn.XLOOKUP(B262, MasterTable[IRA Custodian], MasterTable[State], ""), " ",
           _xlfn.XLOOKUP(B262, MasterTable[IRA Custodian], MasterTable[Zip], "")
       )
   )
)</f>
        <v>Empty Row</v>
      </c>
    </row>
    <row r="263" spans="1:10" x14ac:dyDescent="0.25">
      <c r="A263" t="str">
        <f>IF(D263="Empty Row", "Empty Row",
   _xlfn.LET(
       _xlpm.lookupResult, _xlfn.XLOOKUP(D263, RawDataTable[Account Name and Number], RawDataTable[Entity], "RAW DATA MISSING"),
       IF(ISBLANK(_xlpm.lookupResult), "RAW DATA MISSING", _xlpm.lookupResult)
   )
)</f>
        <v>Empty Row</v>
      </c>
      <c r="B263" t="str">
        <f>IF(D263="Empty Row", "Empty Row",
   _xlfn.LET(
       _xlpm.rawDataLookup, _xlfn.XLOOKUP(D263,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63" s="56" t="str" cm="1">
        <f t="array" ref="C263">IF(D263="Empty Row", "Empty Row",
   IF(COUNTIF('Name Mapping'!H:AD, D263) &gt; 0,
      INDEX('Name Mapping'!F:F, MATCH(TRUE, MMULT(--('Name Mapping'!H:AD=D263), TRANSPOSE(COLUMN('Name Mapping'!H:AD)^0)) &gt; 0, 0)),
      "")
)</f>
        <v>Empty Row</v>
      </c>
      <c r="D263" t="str">
        <f>IF(RawDataTable[[#This Row],[Account Name and Number]]&lt;&gt;"", RawDataTable[[#This Row],[Account Name and Number]], "Empty Row")</f>
        <v>Empty Row</v>
      </c>
      <c r="E263" s="28" t="str">
        <f>IF(D263="Empty Row", "Empty Row",
   _xlfn.LET(
       _xlpm.lookupResult, _xlfn.XLOOKUP(D263, RawDataTable[Account Name and Number], RawDataTable[Investment Date], "MISSING VALUE"),
       IF(ISNUMBER(_xlpm.lookupResult), _xlpm.lookupResult, "INVALID VALUE")
   )
)</f>
        <v>Empty Row</v>
      </c>
      <c r="F263" s="29" t="str">
        <f>IF(D263="Empty Row", "Empty Row",
   _xlfn.LET(
       _xlpm.lookupResult, _xlfn.XLOOKUP(D263, RawDataTable[Account Name and Number], RawDataTable[Investment Amount], "MISSING VALUE"),
       IF(ISNUMBER(_xlpm.lookupResult), _xlpm.lookupResult, "INVALID VALUE")
   )
)</f>
        <v>Empty Row</v>
      </c>
      <c r="G263" s="28" t="str">
        <f t="shared" ca="1" si="4"/>
        <v>Empty Row</v>
      </c>
      <c r="H263" s="29" t="str">
        <f>IF(D263="Empty Row", "Empty Row",
   _xlfn.LET(
       _xlpm.lookupResult, _xlfn.XLOOKUP(D263, RawDataTable[Account Name and Number], RawDataTable[Valuation Amount], "MISSING VALUE"),
       IF(ISNUMBER(_xlpm.lookupResult), _xlpm.lookupResult, "INVALID VALUE")
   )
)</f>
        <v>Empty Row</v>
      </c>
      <c r="I263" s="2" t="str">
        <f>IF(D263="Empty Row", "Empty Row", IF(_xlfn.XLOOKUP(B263, MasterTable[IRA Custodian], MasterTable[Address], "")="", "NO STREET NAME FOUND", _xlfn.XLOOKUP(B263, MasterTable[IRA Custodian], MasterTable[Address], "")))</f>
        <v>Empty Row</v>
      </c>
      <c r="J263" s="2" t="str">
        <f>IF(D263="Empty Row", "Empty Row",
   IF(OR(
       _xlfn.XLOOKUP(B263, MasterTable[IRA Custodian], MasterTable[City], "")="",
       _xlfn.XLOOKUP(B263, MasterTable[IRA Custodian], MasterTable[State], "")="",
       _xlfn.XLOOKUP(B263, MasterTable[IRA Custodian], MasterTable[Zip], "")=""),
       "INCOMPLETE ADDRESS",
       _xlfn.CONCAT(
           _xlfn.XLOOKUP(B263, MasterTable[IRA Custodian], MasterTable[City], ""), ", ",
           _xlfn.XLOOKUP(B263, MasterTable[IRA Custodian], MasterTable[State], ""), " ",
           _xlfn.XLOOKUP(B263, MasterTable[IRA Custodian], MasterTable[Zip], "")
       )
   )
)</f>
        <v>Empty Row</v>
      </c>
    </row>
    <row r="264" spans="1:10" x14ac:dyDescent="0.25">
      <c r="A264" t="str">
        <f>IF(D264="Empty Row", "Empty Row",
   _xlfn.LET(
       _xlpm.lookupResult, _xlfn.XLOOKUP(D264, RawDataTable[Account Name and Number], RawDataTable[Entity], "RAW DATA MISSING"),
       IF(ISBLANK(_xlpm.lookupResult), "RAW DATA MISSING", _xlpm.lookupResult)
   )
)</f>
        <v>Empty Row</v>
      </c>
      <c r="B264" t="str">
        <f>IF(D264="Empty Row", "Empty Row",
   _xlfn.LET(
       _xlpm.rawDataLookup, _xlfn.XLOOKUP(D264,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64" s="56" t="str" cm="1">
        <f t="array" ref="C264">IF(D264="Empty Row", "Empty Row",
   IF(COUNTIF('Name Mapping'!H:AD, D264) &gt; 0,
      INDEX('Name Mapping'!F:F, MATCH(TRUE, MMULT(--('Name Mapping'!H:AD=D264), TRANSPOSE(COLUMN('Name Mapping'!H:AD)^0)) &gt; 0, 0)),
      "")
)</f>
        <v>Empty Row</v>
      </c>
      <c r="D264" t="str">
        <f>IF(RawDataTable[[#This Row],[Account Name and Number]]&lt;&gt;"", RawDataTable[[#This Row],[Account Name and Number]], "Empty Row")</f>
        <v>Empty Row</v>
      </c>
      <c r="E264" s="28" t="str">
        <f>IF(D264="Empty Row", "Empty Row",
   _xlfn.LET(
       _xlpm.lookupResult, _xlfn.XLOOKUP(D264, RawDataTable[Account Name and Number], RawDataTable[Investment Date], "MISSING VALUE"),
       IF(ISNUMBER(_xlpm.lookupResult), _xlpm.lookupResult, "INVALID VALUE")
   )
)</f>
        <v>Empty Row</v>
      </c>
      <c r="F264" s="29" t="str">
        <f>IF(D264="Empty Row", "Empty Row",
   _xlfn.LET(
       _xlpm.lookupResult, _xlfn.XLOOKUP(D264, RawDataTable[Account Name and Number], RawDataTable[Investment Amount], "MISSING VALUE"),
       IF(ISNUMBER(_xlpm.lookupResult), _xlpm.lookupResult, "INVALID VALUE")
   )
)</f>
        <v>Empty Row</v>
      </c>
      <c r="G264" s="28" t="str">
        <f t="shared" ca="1" si="4"/>
        <v>Empty Row</v>
      </c>
      <c r="H264" s="29" t="str">
        <f>IF(D264="Empty Row", "Empty Row",
   _xlfn.LET(
       _xlpm.lookupResult, _xlfn.XLOOKUP(D264, RawDataTable[Account Name and Number], RawDataTable[Valuation Amount], "MISSING VALUE"),
       IF(ISNUMBER(_xlpm.lookupResult), _xlpm.lookupResult, "INVALID VALUE")
   )
)</f>
        <v>Empty Row</v>
      </c>
      <c r="I264" s="2" t="str">
        <f>IF(D264="Empty Row", "Empty Row", IF(_xlfn.XLOOKUP(B264, MasterTable[IRA Custodian], MasterTable[Address], "")="", "NO STREET NAME FOUND", _xlfn.XLOOKUP(B264, MasterTable[IRA Custodian], MasterTable[Address], "")))</f>
        <v>Empty Row</v>
      </c>
      <c r="J264" s="2" t="str">
        <f>IF(D264="Empty Row", "Empty Row",
   IF(OR(
       _xlfn.XLOOKUP(B264, MasterTable[IRA Custodian], MasterTable[City], "")="",
       _xlfn.XLOOKUP(B264, MasterTable[IRA Custodian], MasterTable[State], "")="",
       _xlfn.XLOOKUP(B264, MasterTable[IRA Custodian], MasterTable[Zip], "")=""),
       "INCOMPLETE ADDRESS",
       _xlfn.CONCAT(
           _xlfn.XLOOKUP(B264, MasterTable[IRA Custodian], MasterTable[City], ""), ", ",
           _xlfn.XLOOKUP(B264, MasterTable[IRA Custodian], MasterTable[State], ""), " ",
           _xlfn.XLOOKUP(B264, MasterTable[IRA Custodian], MasterTable[Zip], "")
       )
   )
)</f>
        <v>Empty Row</v>
      </c>
    </row>
    <row r="265" spans="1:10" x14ac:dyDescent="0.25">
      <c r="A265" t="str">
        <f>IF(D265="Empty Row", "Empty Row",
   _xlfn.LET(
       _xlpm.lookupResult, _xlfn.XLOOKUP(D265, RawDataTable[Account Name and Number], RawDataTable[Entity], "RAW DATA MISSING"),
       IF(ISBLANK(_xlpm.lookupResult), "RAW DATA MISSING", _xlpm.lookupResult)
   )
)</f>
        <v>Empty Row</v>
      </c>
      <c r="B265" t="str">
        <f>IF(D265="Empty Row", "Empty Row",
   _xlfn.LET(
       _xlpm.rawDataLookup, _xlfn.XLOOKUP(D265,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65" s="56" t="str" cm="1">
        <f t="array" ref="C265">IF(D265="Empty Row", "Empty Row",
   IF(COUNTIF('Name Mapping'!H:AD, D265) &gt; 0,
      INDEX('Name Mapping'!F:F, MATCH(TRUE, MMULT(--('Name Mapping'!H:AD=D265), TRANSPOSE(COLUMN('Name Mapping'!H:AD)^0)) &gt; 0, 0)),
      "")
)</f>
        <v>Empty Row</v>
      </c>
      <c r="D265" t="str">
        <f>IF(RawDataTable[[#This Row],[Account Name and Number]]&lt;&gt;"", RawDataTable[[#This Row],[Account Name and Number]], "Empty Row")</f>
        <v>Empty Row</v>
      </c>
      <c r="E265" s="28" t="str">
        <f>IF(D265="Empty Row", "Empty Row",
   _xlfn.LET(
       _xlpm.lookupResult, _xlfn.XLOOKUP(D265, RawDataTable[Account Name and Number], RawDataTable[Investment Date], "MISSING VALUE"),
       IF(ISNUMBER(_xlpm.lookupResult), _xlpm.lookupResult, "INVALID VALUE")
   )
)</f>
        <v>Empty Row</v>
      </c>
      <c r="F265" s="29" t="str">
        <f>IF(D265="Empty Row", "Empty Row",
   _xlfn.LET(
       _xlpm.lookupResult, _xlfn.XLOOKUP(D265, RawDataTable[Account Name and Number], RawDataTable[Investment Amount], "MISSING VALUE"),
       IF(ISNUMBER(_xlpm.lookupResult), _xlpm.lookupResult, "INVALID VALUE")
   )
)</f>
        <v>Empty Row</v>
      </c>
      <c r="G265" s="28" t="str">
        <f t="shared" ca="1" si="4"/>
        <v>Empty Row</v>
      </c>
      <c r="H265" s="29" t="str">
        <f>IF(D265="Empty Row", "Empty Row",
   _xlfn.LET(
       _xlpm.lookupResult, _xlfn.XLOOKUP(D265, RawDataTable[Account Name and Number], RawDataTable[Valuation Amount], "MISSING VALUE"),
       IF(ISNUMBER(_xlpm.lookupResult), _xlpm.lookupResult, "INVALID VALUE")
   )
)</f>
        <v>Empty Row</v>
      </c>
      <c r="I265" s="2" t="str">
        <f>IF(D265="Empty Row", "Empty Row", IF(_xlfn.XLOOKUP(B265, MasterTable[IRA Custodian], MasterTable[Address], "")="", "NO STREET NAME FOUND", _xlfn.XLOOKUP(B265, MasterTable[IRA Custodian], MasterTable[Address], "")))</f>
        <v>Empty Row</v>
      </c>
      <c r="J265" s="2" t="str">
        <f>IF(D265="Empty Row", "Empty Row",
   IF(OR(
       _xlfn.XLOOKUP(B265, MasterTable[IRA Custodian], MasterTable[City], "")="",
       _xlfn.XLOOKUP(B265, MasterTable[IRA Custodian], MasterTable[State], "")="",
       _xlfn.XLOOKUP(B265, MasterTable[IRA Custodian], MasterTable[Zip], "")=""),
       "INCOMPLETE ADDRESS",
       _xlfn.CONCAT(
           _xlfn.XLOOKUP(B265, MasterTable[IRA Custodian], MasterTable[City], ""), ", ",
           _xlfn.XLOOKUP(B265, MasterTable[IRA Custodian], MasterTable[State], ""), " ",
           _xlfn.XLOOKUP(B265, MasterTable[IRA Custodian], MasterTable[Zip], "")
       )
   )
)</f>
        <v>Empty Row</v>
      </c>
    </row>
    <row r="266" spans="1:10" x14ac:dyDescent="0.25">
      <c r="A266" t="str">
        <f>IF(D266="Empty Row", "Empty Row",
   _xlfn.LET(
       _xlpm.lookupResult, _xlfn.XLOOKUP(D266, RawDataTable[Account Name and Number], RawDataTable[Entity], "RAW DATA MISSING"),
       IF(ISBLANK(_xlpm.lookupResult), "RAW DATA MISSING", _xlpm.lookupResult)
   )
)</f>
        <v>Empty Row</v>
      </c>
      <c r="B266" t="str">
        <f>IF(D266="Empty Row", "Empty Row",
   _xlfn.LET(
       _xlpm.rawDataLookup, _xlfn.XLOOKUP(D266,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66" s="56" t="str" cm="1">
        <f t="array" ref="C266">IF(D266="Empty Row", "Empty Row",
   IF(COUNTIF('Name Mapping'!H:AD, D266) &gt; 0,
      INDEX('Name Mapping'!F:F, MATCH(TRUE, MMULT(--('Name Mapping'!H:AD=D266), TRANSPOSE(COLUMN('Name Mapping'!H:AD)^0)) &gt; 0, 0)),
      "")
)</f>
        <v>Empty Row</v>
      </c>
      <c r="D266" t="str">
        <f>IF(RawDataTable[[#This Row],[Account Name and Number]]&lt;&gt;"", RawDataTable[[#This Row],[Account Name and Number]], "Empty Row")</f>
        <v>Empty Row</v>
      </c>
      <c r="E266" s="28" t="str">
        <f>IF(D266="Empty Row", "Empty Row",
   _xlfn.LET(
       _xlpm.lookupResult, _xlfn.XLOOKUP(D266, RawDataTable[Account Name and Number], RawDataTable[Investment Date], "MISSING VALUE"),
       IF(ISNUMBER(_xlpm.lookupResult), _xlpm.lookupResult, "INVALID VALUE")
   )
)</f>
        <v>Empty Row</v>
      </c>
      <c r="F266" s="29" t="str">
        <f>IF(D266="Empty Row", "Empty Row",
   _xlfn.LET(
       _xlpm.lookupResult, _xlfn.XLOOKUP(D266, RawDataTable[Account Name and Number], RawDataTable[Investment Amount], "MISSING VALUE"),
       IF(ISNUMBER(_xlpm.lookupResult), _xlpm.lookupResult, "INVALID VALUE")
   )
)</f>
        <v>Empty Row</v>
      </c>
      <c r="G266" s="28" t="str">
        <f t="shared" ca="1" si="4"/>
        <v>Empty Row</v>
      </c>
      <c r="H266" s="29" t="str">
        <f>IF(D266="Empty Row", "Empty Row",
   _xlfn.LET(
       _xlpm.lookupResult, _xlfn.XLOOKUP(D266, RawDataTable[Account Name and Number], RawDataTable[Valuation Amount], "MISSING VALUE"),
       IF(ISNUMBER(_xlpm.lookupResult), _xlpm.lookupResult, "INVALID VALUE")
   )
)</f>
        <v>Empty Row</v>
      </c>
      <c r="I266" s="2" t="str">
        <f>IF(D266="Empty Row", "Empty Row", IF(_xlfn.XLOOKUP(B266, MasterTable[IRA Custodian], MasterTable[Address], "")="", "NO STREET NAME FOUND", _xlfn.XLOOKUP(B266, MasterTable[IRA Custodian], MasterTable[Address], "")))</f>
        <v>Empty Row</v>
      </c>
      <c r="J266" s="2" t="str">
        <f>IF(D266="Empty Row", "Empty Row",
   IF(OR(
       _xlfn.XLOOKUP(B266, MasterTable[IRA Custodian], MasterTable[City], "")="",
       _xlfn.XLOOKUP(B266, MasterTable[IRA Custodian], MasterTable[State], "")="",
       _xlfn.XLOOKUP(B266, MasterTable[IRA Custodian], MasterTable[Zip], "")=""),
       "INCOMPLETE ADDRESS",
       _xlfn.CONCAT(
           _xlfn.XLOOKUP(B266, MasterTable[IRA Custodian], MasterTable[City], ""), ", ",
           _xlfn.XLOOKUP(B266, MasterTable[IRA Custodian], MasterTable[State], ""), " ",
           _xlfn.XLOOKUP(B266, MasterTable[IRA Custodian], MasterTable[Zip], "")
       )
   )
)</f>
        <v>Empty Row</v>
      </c>
    </row>
    <row r="267" spans="1:10" x14ac:dyDescent="0.25">
      <c r="A267" t="str">
        <f>IF(D267="Empty Row", "Empty Row",
   _xlfn.LET(
       _xlpm.lookupResult, _xlfn.XLOOKUP(D267, RawDataTable[Account Name and Number], RawDataTable[Entity], "RAW DATA MISSING"),
       IF(ISBLANK(_xlpm.lookupResult), "RAW DATA MISSING", _xlpm.lookupResult)
   )
)</f>
        <v>Empty Row</v>
      </c>
      <c r="B267" t="str">
        <f>IF(D267="Empty Row", "Empty Row",
   _xlfn.LET(
       _xlpm.rawDataLookup, _xlfn.XLOOKUP(D267,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67" s="56" t="str" cm="1">
        <f t="array" ref="C267">IF(D267="Empty Row", "Empty Row",
   IF(COUNTIF('Name Mapping'!H:AD, D267) &gt; 0,
      INDEX('Name Mapping'!F:F, MATCH(TRUE, MMULT(--('Name Mapping'!H:AD=D267), TRANSPOSE(COLUMN('Name Mapping'!H:AD)^0)) &gt; 0, 0)),
      "")
)</f>
        <v>Empty Row</v>
      </c>
      <c r="D267" t="str">
        <f>IF(RawDataTable[[#This Row],[Account Name and Number]]&lt;&gt;"", RawDataTable[[#This Row],[Account Name and Number]], "Empty Row")</f>
        <v>Empty Row</v>
      </c>
      <c r="E267" s="28" t="str">
        <f>IF(D267="Empty Row", "Empty Row",
   _xlfn.LET(
       _xlpm.lookupResult, _xlfn.XLOOKUP(D267, RawDataTable[Account Name and Number], RawDataTable[Investment Date], "MISSING VALUE"),
       IF(ISNUMBER(_xlpm.lookupResult), _xlpm.lookupResult, "INVALID VALUE")
   )
)</f>
        <v>Empty Row</v>
      </c>
      <c r="F267" s="29" t="str">
        <f>IF(D267="Empty Row", "Empty Row",
   _xlfn.LET(
       _xlpm.lookupResult, _xlfn.XLOOKUP(D267, RawDataTable[Account Name and Number], RawDataTable[Investment Amount], "MISSING VALUE"),
       IF(ISNUMBER(_xlpm.lookupResult), _xlpm.lookupResult, "INVALID VALUE")
   )
)</f>
        <v>Empty Row</v>
      </c>
      <c r="G267" s="28" t="str">
        <f t="shared" ca="1" si="4"/>
        <v>Empty Row</v>
      </c>
      <c r="H267" s="29" t="str">
        <f>IF(D267="Empty Row", "Empty Row",
   _xlfn.LET(
       _xlpm.lookupResult, _xlfn.XLOOKUP(D267, RawDataTable[Account Name and Number], RawDataTable[Valuation Amount], "MISSING VALUE"),
       IF(ISNUMBER(_xlpm.lookupResult), _xlpm.lookupResult, "INVALID VALUE")
   )
)</f>
        <v>Empty Row</v>
      </c>
      <c r="I267" s="2" t="str">
        <f>IF(D267="Empty Row", "Empty Row", IF(_xlfn.XLOOKUP(B267, MasterTable[IRA Custodian], MasterTable[Address], "")="", "NO STREET NAME FOUND", _xlfn.XLOOKUP(B267, MasterTable[IRA Custodian], MasterTable[Address], "")))</f>
        <v>Empty Row</v>
      </c>
      <c r="J267" s="2" t="str">
        <f>IF(D267="Empty Row", "Empty Row",
   IF(OR(
       _xlfn.XLOOKUP(B267, MasterTable[IRA Custodian], MasterTable[City], "")="",
       _xlfn.XLOOKUP(B267, MasterTable[IRA Custodian], MasterTable[State], "")="",
       _xlfn.XLOOKUP(B267, MasterTable[IRA Custodian], MasterTable[Zip], "")=""),
       "INCOMPLETE ADDRESS",
       _xlfn.CONCAT(
           _xlfn.XLOOKUP(B267, MasterTable[IRA Custodian], MasterTable[City], ""), ", ",
           _xlfn.XLOOKUP(B267, MasterTable[IRA Custodian], MasterTable[State], ""), " ",
           _xlfn.XLOOKUP(B267, MasterTable[IRA Custodian], MasterTable[Zip], "")
       )
   )
)</f>
        <v>Empty Row</v>
      </c>
    </row>
    <row r="268" spans="1:10" x14ac:dyDescent="0.25">
      <c r="A268" t="str">
        <f>IF(D268="Empty Row", "Empty Row",
   _xlfn.LET(
       _xlpm.lookupResult, _xlfn.XLOOKUP(D268, RawDataTable[Account Name and Number], RawDataTable[Entity], "RAW DATA MISSING"),
       IF(ISBLANK(_xlpm.lookupResult), "RAW DATA MISSING", _xlpm.lookupResult)
   )
)</f>
        <v>Empty Row</v>
      </c>
      <c r="B268" t="str">
        <f>IF(D268="Empty Row", "Empty Row",
   _xlfn.LET(
       _xlpm.rawDataLookup, _xlfn.XLOOKUP(D268,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68" s="56" t="str" cm="1">
        <f t="array" ref="C268">IF(D268="Empty Row", "Empty Row",
   IF(COUNTIF('Name Mapping'!H:AD, D268) &gt; 0,
      INDEX('Name Mapping'!F:F, MATCH(TRUE, MMULT(--('Name Mapping'!H:AD=D268), TRANSPOSE(COLUMN('Name Mapping'!H:AD)^0)) &gt; 0, 0)),
      "")
)</f>
        <v>Empty Row</v>
      </c>
      <c r="D268" t="str">
        <f>IF(RawDataTable[[#This Row],[Account Name and Number]]&lt;&gt;"", RawDataTable[[#This Row],[Account Name and Number]], "Empty Row")</f>
        <v>Empty Row</v>
      </c>
      <c r="E268" s="28" t="str">
        <f>IF(D268="Empty Row", "Empty Row",
   _xlfn.LET(
       _xlpm.lookupResult, _xlfn.XLOOKUP(D268, RawDataTable[Account Name and Number], RawDataTable[Investment Date], "MISSING VALUE"),
       IF(ISNUMBER(_xlpm.lookupResult), _xlpm.lookupResult, "INVALID VALUE")
   )
)</f>
        <v>Empty Row</v>
      </c>
      <c r="F268" s="29" t="str">
        <f>IF(D268="Empty Row", "Empty Row",
   _xlfn.LET(
       _xlpm.lookupResult, _xlfn.XLOOKUP(D268, RawDataTable[Account Name and Number], RawDataTable[Investment Amount], "MISSING VALUE"),
       IF(ISNUMBER(_xlpm.lookupResult), _xlpm.lookupResult, "INVALID VALUE")
   )
)</f>
        <v>Empty Row</v>
      </c>
      <c r="G268" s="28" t="str">
        <f t="shared" ca="1" si="4"/>
        <v>Empty Row</v>
      </c>
      <c r="H268" s="29" t="str">
        <f>IF(D268="Empty Row", "Empty Row",
   _xlfn.LET(
       _xlpm.lookupResult, _xlfn.XLOOKUP(D268, RawDataTable[Account Name and Number], RawDataTable[Valuation Amount], "MISSING VALUE"),
       IF(ISNUMBER(_xlpm.lookupResult), _xlpm.lookupResult, "INVALID VALUE")
   )
)</f>
        <v>Empty Row</v>
      </c>
      <c r="I268" s="2" t="str">
        <f>IF(D268="Empty Row", "Empty Row", IF(_xlfn.XLOOKUP(B268, MasterTable[IRA Custodian], MasterTable[Address], "")="", "NO STREET NAME FOUND", _xlfn.XLOOKUP(B268, MasterTable[IRA Custodian], MasterTable[Address], "")))</f>
        <v>Empty Row</v>
      </c>
      <c r="J268" s="2" t="str">
        <f>IF(D268="Empty Row", "Empty Row",
   IF(OR(
       _xlfn.XLOOKUP(B268, MasterTable[IRA Custodian], MasterTable[City], "")="",
       _xlfn.XLOOKUP(B268, MasterTable[IRA Custodian], MasterTable[State], "")="",
       _xlfn.XLOOKUP(B268, MasterTable[IRA Custodian], MasterTable[Zip], "")=""),
       "INCOMPLETE ADDRESS",
       _xlfn.CONCAT(
           _xlfn.XLOOKUP(B268, MasterTable[IRA Custodian], MasterTable[City], ""), ", ",
           _xlfn.XLOOKUP(B268, MasterTable[IRA Custodian], MasterTable[State], ""), " ",
           _xlfn.XLOOKUP(B268, MasterTable[IRA Custodian], MasterTable[Zip], "")
       )
   )
)</f>
        <v>Empty Row</v>
      </c>
    </row>
    <row r="269" spans="1:10" x14ac:dyDescent="0.25">
      <c r="A269" t="str">
        <f>IF(D269="Empty Row", "Empty Row",
   _xlfn.LET(
       _xlpm.lookupResult, _xlfn.XLOOKUP(D269, RawDataTable[Account Name and Number], RawDataTable[Entity], "RAW DATA MISSING"),
       IF(ISBLANK(_xlpm.lookupResult), "RAW DATA MISSING", _xlpm.lookupResult)
   )
)</f>
        <v>Empty Row</v>
      </c>
      <c r="B269" t="str">
        <f>IF(D269="Empty Row", "Empty Row",
   _xlfn.LET(
       _xlpm.rawDataLookup, _xlfn.XLOOKUP(D269,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69" s="56" t="str" cm="1">
        <f t="array" ref="C269">IF(D269="Empty Row", "Empty Row",
   IF(COUNTIF('Name Mapping'!H:AD, D269) &gt; 0,
      INDEX('Name Mapping'!F:F, MATCH(TRUE, MMULT(--('Name Mapping'!H:AD=D269), TRANSPOSE(COLUMN('Name Mapping'!H:AD)^0)) &gt; 0, 0)),
      "")
)</f>
        <v>Empty Row</v>
      </c>
      <c r="D269" t="str">
        <f>IF(RawDataTable[[#This Row],[Account Name and Number]]&lt;&gt;"", RawDataTable[[#This Row],[Account Name and Number]], "Empty Row")</f>
        <v>Empty Row</v>
      </c>
      <c r="E269" s="28" t="str">
        <f>IF(D269="Empty Row", "Empty Row",
   _xlfn.LET(
       _xlpm.lookupResult, _xlfn.XLOOKUP(D269, RawDataTable[Account Name and Number], RawDataTable[Investment Date], "MISSING VALUE"),
       IF(ISNUMBER(_xlpm.lookupResult), _xlpm.lookupResult, "INVALID VALUE")
   )
)</f>
        <v>Empty Row</v>
      </c>
      <c r="F269" s="29" t="str">
        <f>IF(D269="Empty Row", "Empty Row",
   _xlfn.LET(
       _xlpm.lookupResult, _xlfn.XLOOKUP(D269, RawDataTable[Account Name and Number], RawDataTable[Investment Amount], "MISSING VALUE"),
       IF(ISNUMBER(_xlpm.lookupResult), _xlpm.lookupResult, "INVALID VALUE")
   )
)</f>
        <v>Empty Row</v>
      </c>
      <c r="G269" s="28" t="str">
        <f t="shared" ca="1" si="4"/>
        <v>Empty Row</v>
      </c>
      <c r="H269" s="29" t="str">
        <f>IF(D269="Empty Row", "Empty Row",
   _xlfn.LET(
       _xlpm.lookupResult, _xlfn.XLOOKUP(D269, RawDataTable[Account Name and Number], RawDataTable[Valuation Amount], "MISSING VALUE"),
       IF(ISNUMBER(_xlpm.lookupResult), _xlpm.lookupResult, "INVALID VALUE")
   )
)</f>
        <v>Empty Row</v>
      </c>
      <c r="I269" s="2" t="str">
        <f>IF(D269="Empty Row", "Empty Row", IF(_xlfn.XLOOKUP(B269, MasterTable[IRA Custodian], MasterTable[Address], "")="", "NO STREET NAME FOUND", _xlfn.XLOOKUP(B269, MasterTable[IRA Custodian], MasterTable[Address], "")))</f>
        <v>Empty Row</v>
      </c>
      <c r="J269" s="2" t="str">
        <f>IF(D269="Empty Row", "Empty Row",
   IF(OR(
       _xlfn.XLOOKUP(B269, MasterTable[IRA Custodian], MasterTable[City], "")="",
       _xlfn.XLOOKUP(B269, MasterTable[IRA Custodian], MasterTable[State], "")="",
       _xlfn.XLOOKUP(B269, MasterTable[IRA Custodian], MasterTable[Zip], "")=""),
       "INCOMPLETE ADDRESS",
       _xlfn.CONCAT(
           _xlfn.XLOOKUP(B269, MasterTable[IRA Custodian], MasterTable[City], ""), ", ",
           _xlfn.XLOOKUP(B269, MasterTable[IRA Custodian], MasterTable[State], ""), " ",
           _xlfn.XLOOKUP(B269, MasterTable[IRA Custodian], MasterTable[Zip], "")
       )
   )
)</f>
        <v>Empty Row</v>
      </c>
    </row>
    <row r="270" spans="1:10" x14ac:dyDescent="0.25">
      <c r="A270" t="str">
        <f>IF(D270="Empty Row", "Empty Row",
   _xlfn.LET(
       _xlpm.lookupResult, _xlfn.XLOOKUP(D270, RawDataTable[Account Name and Number], RawDataTable[Entity], "RAW DATA MISSING"),
       IF(ISBLANK(_xlpm.lookupResult), "RAW DATA MISSING", _xlpm.lookupResult)
   )
)</f>
        <v>Empty Row</v>
      </c>
      <c r="B270" t="str">
        <f>IF(D270="Empty Row", "Empty Row",
   _xlfn.LET(
       _xlpm.rawDataLookup, _xlfn.XLOOKUP(D270,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70" s="56" t="str" cm="1">
        <f t="array" ref="C270">IF(D270="Empty Row", "Empty Row",
   IF(COUNTIF('Name Mapping'!H:AD, D270) &gt; 0,
      INDEX('Name Mapping'!F:F, MATCH(TRUE, MMULT(--('Name Mapping'!H:AD=D270), TRANSPOSE(COLUMN('Name Mapping'!H:AD)^0)) &gt; 0, 0)),
      "")
)</f>
        <v>Empty Row</v>
      </c>
      <c r="D270" t="str">
        <f>IF(RawDataTable[[#This Row],[Account Name and Number]]&lt;&gt;"", RawDataTable[[#This Row],[Account Name and Number]], "Empty Row")</f>
        <v>Empty Row</v>
      </c>
      <c r="E270" s="28" t="str">
        <f>IF(D270="Empty Row", "Empty Row",
   _xlfn.LET(
       _xlpm.lookupResult, _xlfn.XLOOKUP(D270, RawDataTable[Account Name and Number], RawDataTable[Investment Date], "MISSING VALUE"),
       IF(ISNUMBER(_xlpm.lookupResult), _xlpm.lookupResult, "INVALID VALUE")
   )
)</f>
        <v>Empty Row</v>
      </c>
      <c r="F270" s="29" t="str">
        <f>IF(D270="Empty Row", "Empty Row",
   _xlfn.LET(
       _xlpm.lookupResult, _xlfn.XLOOKUP(D270, RawDataTable[Account Name and Number], RawDataTable[Investment Amount], "MISSING VALUE"),
       IF(ISNUMBER(_xlpm.lookupResult), _xlpm.lookupResult, "INVALID VALUE")
   )
)</f>
        <v>Empty Row</v>
      </c>
      <c r="G270" s="28" t="str">
        <f t="shared" ca="1" si="4"/>
        <v>Empty Row</v>
      </c>
      <c r="H270" s="29" t="str">
        <f>IF(D270="Empty Row", "Empty Row",
   _xlfn.LET(
       _xlpm.lookupResult, _xlfn.XLOOKUP(D270, RawDataTable[Account Name and Number], RawDataTable[Valuation Amount], "MISSING VALUE"),
       IF(ISNUMBER(_xlpm.lookupResult), _xlpm.lookupResult, "INVALID VALUE")
   )
)</f>
        <v>Empty Row</v>
      </c>
      <c r="I270" s="2" t="str">
        <f>IF(D270="Empty Row", "Empty Row", IF(_xlfn.XLOOKUP(B270, MasterTable[IRA Custodian], MasterTable[Address], "")="", "NO STREET NAME FOUND", _xlfn.XLOOKUP(B270, MasterTable[IRA Custodian], MasterTable[Address], "")))</f>
        <v>Empty Row</v>
      </c>
      <c r="J270" s="2" t="str">
        <f>IF(D270="Empty Row", "Empty Row",
   IF(OR(
       _xlfn.XLOOKUP(B270, MasterTable[IRA Custodian], MasterTable[City], "")="",
       _xlfn.XLOOKUP(B270, MasterTable[IRA Custodian], MasterTable[State], "")="",
       _xlfn.XLOOKUP(B270, MasterTable[IRA Custodian], MasterTable[Zip], "")=""),
       "INCOMPLETE ADDRESS",
       _xlfn.CONCAT(
           _xlfn.XLOOKUP(B270, MasterTable[IRA Custodian], MasterTable[City], ""), ", ",
           _xlfn.XLOOKUP(B270, MasterTable[IRA Custodian], MasterTable[State], ""), " ",
           _xlfn.XLOOKUP(B270, MasterTable[IRA Custodian], MasterTable[Zip], "")
       )
   )
)</f>
        <v>Empty Row</v>
      </c>
    </row>
    <row r="271" spans="1:10" x14ac:dyDescent="0.25">
      <c r="A271" t="str">
        <f>IF(D271="Empty Row", "Empty Row",
   _xlfn.LET(
       _xlpm.lookupResult, _xlfn.XLOOKUP(D271, RawDataTable[Account Name and Number], RawDataTable[Entity], "RAW DATA MISSING"),
       IF(ISBLANK(_xlpm.lookupResult), "RAW DATA MISSING", _xlpm.lookupResult)
   )
)</f>
        <v>Empty Row</v>
      </c>
      <c r="B271" t="str">
        <f>IF(D271="Empty Row", "Empty Row",
   _xlfn.LET(
       _xlpm.rawDataLookup, _xlfn.XLOOKUP(D271,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71" s="56" t="str" cm="1">
        <f t="array" ref="C271">IF(D271="Empty Row", "Empty Row",
   IF(COUNTIF('Name Mapping'!H:AD, D271) &gt; 0,
      INDEX('Name Mapping'!F:F, MATCH(TRUE, MMULT(--('Name Mapping'!H:AD=D271), TRANSPOSE(COLUMN('Name Mapping'!H:AD)^0)) &gt; 0, 0)),
      "")
)</f>
        <v>Empty Row</v>
      </c>
      <c r="D271" t="str">
        <f>IF(RawDataTable[[#This Row],[Account Name and Number]]&lt;&gt;"", RawDataTable[[#This Row],[Account Name and Number]], "Empty Row")</f>
        <v>Empty Row</v>
      </c>
      <c r="E271" s="28" t="str">
        <f>IF(D271="Empty Row", "Empty Row",
   _xlfn.LET(
       _xlpm.lookupResult, _xlfn.XLOOKUP(D271, RawDataTable[Account Name and Number], RawDataTable[Investment Date], "MISSING VALUE"),
       IF(ISNUMBER(_xlpm.lookupResult), _xlpm.lookupResult, "INVALID VALUE")
   )
)</f>
        <v>Empty Row</v>
      </c>
      <c r="F271" s="29" t="str">
        <f>IF(D271="Empty Row", "Empty Row",
   _xlfn.LET(
       _xlpm.lookupResult, _xlfn.XLOOKUP(D271, RawDataTable[Account Name and Number], RawDataTable[Investment Amount], "MISSING VALUE"),
       IF(ISNUMBER(_xlpm.lookupResult), _xlpm.lookupResult, "INVALID VALUE")
   )
)</f>
        <v>Empty Row</v>
      </c>
      <c r="G271" s="28" t="str">
        <f t="shared" ca="1" si="4"/>
        <v>Empty Row</v>
      </c>
      <c r="H271" s="29" t="str">
        <f>IF(D271="Empty Row", "Empty Row",
   _xlfn.LET(
       _xlpm.lookupResult, _xlfn.XLOOKUP(D271, RawDataTable[Account Name and Number], RawDataTable[Valuation Amount], "MISSING VALUE"),
       IF(ISNUMBER(_xlpm.lookupResult), _xlpm.lookupResult, "INVALID VALUE")
   )
)</f>
        <v>Empty Row</v>
      </c>
      <c r="I271" s="2" t="str">
        <f>IF(D271="Empty Row", "Empty Row", IF(_xlfn.XLOOKUP(B271, MasterTable[IRA Custodian], MasterTable[Address], "")="", "NO STREET NAME FOUND", _xlfn.XLOOKUP(B271, MasterTable[IRA Custodian], MasterTable[Address], "")))</f>
        <v>Empty Row</v>
      </c>
      <c r="J271" s="2" t="str">
        <f>IF(D271="Empty Row", "Empty Row",
   IF(OR(
       _xlfn.XLOOKUP(B271, MasterTable[IRA Custodian], MasterTable[City], "")="",
       _xlfn.XLOOKUP(B271, MasterTable[IRA Custodian], MasterTable[State], "")="",
       _xlfn.XLOOKUP(B271, MasterTable[IRA Custodian], MasterTable[Zip], "")=""),
       "INCOMPLETE ADDRESS",
       _xlfn.CONCAT(
           _xlfn.XLOOKUP(B271, MasterTable[IRA Custodian], MasterTable[City], ""), ", ",
           _xlfn.XLOOKUP(B271, MasterTable[IRA Custodian], MasterTable[State], ""), " ",
           _xlfn.XLOOKUP(B271, MasterTable[IRA Custodian], MasterTable[Zip], "")
       )
   )
)</f>
        <v>Empty Row</v>
      </c>
    </row>
    <row r="272" spans="1:10" x14ac:dyDescent="0.25">
      <c r="A272" t="str">
        <f>IF(D272="Empty Row", "Empty Row",
   _xlfn.LET(
       _xlpm.lookupResult, _xlfn.XLOOKUP(D272, RawDataTable[Account Name and Number], RawDataTable[Entity], "RAW DATA MISSING"),
       IF(ISBLANK(_xlpm.lookupResult), "RAW DATA MISSING", _xlpm.lookupResult)
   )
)</f>
        <v>Empty Row</v>
      </c>
      <c r="B272" t="str">
        <f>IF(D272="Empty Row", "Empty Row",
   _xlfn.LET(
       _xlpm.rawDataLookup, _xlfn.XLOOKUP(D272,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72" s="56" t="str" cm="1">
        <f t="array" ref="C272">IF(D272="Empty Row", "Empty Row",
   IF(COUNTIF('Name Mapping'!H:AD, D272) &gt; 0,
      INDEX('Name Mapping'!F:F, MATCH(TRUE, MMULT(--('Name Mapping'!H:AD=D272), TRANSPOSE(COLUMN('Name Mapping'!H:AD)^0)) &gt; 0, 0)),
      "")
)</f>
        <v>Empty Row</v>
      </c>
      <c r="D272" t="str">
        <f>IF(RawDataTable[[#This Row],[Account Name and Number]]&lt;&gt;"", RawDataTable[[#This Row],[Account Name and Number]], "Empty Row")</f>
        <v>Empty Row</v>
      </c>
      <c r="E272" s="28" t="str">
        <f>IF(D272="Empty Row", "Empty Row",
   _xlfn.LET(
       _xlpm.lookupResult, _xlfn.XLOOKUP(D272, RawDataTable[Account Name and Number], RawDataTable[Investment Date], "MISSING VALUE"),
       IF(ISNUMBER(_xlpm.lookupResult), _xlpm.lookupResult, "INVALID VALUE")
   )
)</f>
        <v>Empty Row</v>
      </c>
      <c r="F272" s="29" t="str">
        <f>IF(D272="Empty Row", "Empty Row",
   _xlfn.LET(
       _xlpm.lookupResult, _xlfn.XLOOKUP(D272, RawDataTable[Account Name and Number], RawDataTable[Investment Amount], "MISSING VALUE"),
       IF(ISNUMBER(_xlpm.lookupResult), _xlpm.lookupResult, "INVALID VALUE")
   )
)</f>
        <v>Empty Row</v>
      </c>
      <c r="G272" s="28" t="str">
        <f t="shared" ca="1" si="4"/>
        <v>Empty Row</v>
      </c>
      <c r="H272" s="29" t="str">
        <f>IF(D272="Empty Row", "Empty Row",
   _xlfn.LET(
       _xlpm.lookupResult, _xlfn.XLOOKUP(D272, RawDataTable[Account Name and Number], RawDataTable[Valuation Amount], "MISSING VALUE"),
       IF(ISNUMBER(_xlpm.lookupResult), _xlpm.lookupResult, "INVALID VALUE")
   )
)</f>
        <v>Empty Row</v>
      </c>
      <c r="I272" s="2" t="str">
        <f>IF(D272="Empty Row", "Empty Row", IF(_xlfn.XLOOKUP(B272, MasterTable[IRA Custodian], MasterTable[Address], "")="", "NO STREET NAME FOUND", _xlfn.XLOOKUP(B272, MasterTable[IRA Custodian], MasterTable[Address], "")))</f>
        <v>Empty Row</v>
      </c>
      <c r="J272" s="2" t="str">
        <f>IF(D272="Empty Row", "Empty Row",
   IF(OR(
       _xlfn.XLOOKUP(B272, MasterTable[IRA Custodian], MasterTable[City], "")="",
       _xlfn.XLOOKUP(B272, MasterTable[IRA Custodian], MasterTable[State], "")="",
       _xlfn.XLOOKUP(B272, MasterTable[IRA Custodian], MasterTable[Zip], "")=""),
       "INCOMPLETE ADDRESS",
       _xlfn.CONCAT(
           _xlfn.XLOOKUP(B272, MasterTable[IRA Custodian], MasterTable[City], ""), ", ",
           _xlfn.XLOOKUP(B272, MasterTable[IRA Custodian], MasterTable[State], ""), " ",
           _xlfn.XLOOKUP(B272, MasterTable[IRA Custodian], MasterTable[Zip], "")
       )
   )
)</f>
        <v>Empty Row</v>
      </c>
    </row>
    <row r="273" spans="1:10" x14ac:dyDescent="0.25">
      <c r="A273" t="str">
        <f>IF(D273="Empty Row", "Empty Row",
   _xlfn.LET(
       _xlpm.lookupResult, _xlfn.XLOOKUP(D273, RawDataTable[Account Name and Number], RawDataTable[Entity], "RAW DATA MISSING"),
       IF(ISBLANK(_xlpm.lookupResult), "RAW DATA MISSING", _xlpm.lookupResult)
   )
)</f>
        <v>Empty Row</v>
      </c>
      <c r="B273" t="str">
        <f>IF(D273="Empty Row", "Empty Row",
   _xlfn.LET(
       _xlpm.rawDataLookup, _xlfn.XLOOKUP(D273,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73" s="56" t="str" cm="1">
        <f t="array" ref="C273">IF(D273="Empty Row", "Empty Row",
   IF(COUNTIF('Name Mapping'!H:AD, D273) &gt; 0,
      INDEX('Name Mapping'!F:F, MATCH(TRUE, MMULT(--('Name Mapping'!H:AD=D273), TRANSPOSE(COLUMN('Name Mapping'!H:AD)^0)) &gt; 0, 0)),
      "")
)</f>
        <v>Empty Row</v>
      </c>
      <c r="D273" t="str">
        <f>IF(RawDataTable[[#This Row],[Account Name and Number]]&lt;&gt;"", RawDataTable[[#This Row],[Account Name and Number]], "Empty Row")</f>
        <v>Empty Row</v>
      </c>
      <c r="E273" s="28" t="str">
        <f>IF(D273="Empty Row", "Empty Row",
   _xlfn.LET(
       _xlpm.lookupResult, _xlfn.XLOOKUP(D273, RawDataTable[Account Name and Number], RawDataTable[Investment Date], "MISSING VALUE"),
       IF(ISNUMBER(_xlpm.lookupResult), _xlpm.lookupResult, "INVALID VALUE")
   )
)</f>
        <v>Empty Row</v>
      </c>
      <c r="F273" s="29" t="str">
        <f>IF(D273="Empty Row", "Empty Row",
   _xlfn.LET(
       _xlpm.lookupResult, _xlfn.XLOOKUP(D273, RawDataTable[Account Name and Number], RawDataTable[Investment Amount], "MISSING VALUE"),
       IF(ISNUMBER(_xlpm.lookupResult), _xlpm.lookupResult, "INVALID VALUE")
   )
)</f>
        <v>Empty Row</v>
      </c>
      <c r="G273" s="28" t="str">
        <f t="shared" ca="1" si="4"/>
        <v>Empty Row</v>
      </c>
      <c r="H273" s="29" t="str">
        <f>IF(D273="Empty Row", "Empty Row",
   _xlfn.LET(
       _xlpm.lookupResult, _xlfn.XLOOKUP(D273, RawDataTable[Account Name and Number], RawDataTable[Valuation Amount], "MISSING VALUE"),
       IF(ISNUMBER(_xlpm.lookupResult), _xlpm.lookupResult, "INVALID VALUE")
   )
)</f>
        <v>Empty Row</v>
      </c>
      <c r="I273" s="2" t="str">
        <f>IF(D273="Empty Row", "Empty Row", IF(_xlfn.XLOOKUP(B273, MasterTable[IRA Custodian], MasterTable[Address], "")="", "NO STREET NAME FOUND", _xlfn.XLOOKUP(B273, MasterTable[IRA Custodian], MasterTable[Address], "")))</f>
        <v>Empty Row</v>
      </c>
      <c r="J273" s="2" t="str">
        <f>IF(D273="Empty Row", "Empty Row",
   IF(OR(
       _xlfn.XLOOKUP(B273, MasterTable[IRA Custodian], MasterTable[City], "")="",
       _xlfn.XLOOKUP(B273, MasterTable[IRA Custodian], MasterTable[State], "")="",
       _xlfn.XLOOKUP(B273, MasterTable[IRA Custodian], MasterTable[Zip], "")=""),
       "INCOMPLETE ADDRESS",
       _xlfn.CONCAT(
           _xlfn.XLOOKUP(B273, MasterTable[IRA Custodian], MasterTable[City], ""), ", ",
           _xlfn.XLOOKUP(B273, MasterTable[IRA Custodian], MasterTable[State], ""), " ",
           _xlfn.XLOOKUP(B273, MasterTable[IRA Custodian], MasterTable[Zip], "")
       )
   )
)</f>
        <v>Empty Row</v>
      </c>
    </row>
    <row r="274" spans="1:10" x14ac:dyDescent="0.25">
      <c r="A274" t="str">
        <f>IF(D274="Empty Row", "Empty Row",
   _xlfn.LET(
       _xlpm.lookupResult, _xlfn.XLOOKUP(D274, RawDataTable[Account Name and Number], RawDataTable[Entity], "RAW DATA MISSING"),
       IF(ISBLANK(_xlpm.lookupResult), "RAW DATA MISSING", _xlpm.lookupResult)
   )
)</f>
        <v>Empty Row</v>
      </c>
      <c r="B274" t="str">
        <f>IF(D274="Empty Row", "Empty Row",
   _xlfn.LET(
       _xlpm.rawDataLookup, _xlfn.XLOOKUP(D274,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74" s="56" t="str" cm="1">
        <f t="array" ref="C274">IF(D274="Empty Row", "Empty Row",
   IF(COUNTIF('Name Mapping'!H:AD, D274) &gt; 0,
      INDEX('Name Mapping'!F:F, MATCH(TRUE, MMULT(--('Name Mapping'!H:AD=D274), TRANSPOSE(COLUMN('Name Mapping'!H:AD)^0)) &gt; 0, 0)),
      "")
)</f>
        <v>Empty Row</v>
      </c>
      <c r="D274" t="str">
        <f>IF(RawDataTable[[#This Row],[Account Name and Number]]&lt;&gt;"", RawDataTable[[#This Row],[Account Name and Number]], "Empty Row")</f>
        <v>Empty Row</v>
      </c>
      <c r="E274" s="28" t="str">
        <f>IF(D274="Empty Row", "Empty Row",
   _xlfn.LET(
       _xlpm.lookupResult, _xlfn.XLOOKUP(D274, RawDataTable[Account Name and Number], RawDataTable[Investment Date], "MISSING VALUE"),
       IF(ISNUMBER(_xlpm.lookupResult), _xlpm.lookupResult, "INVALID VALUE")
   )
)</f>
        <v>Empty Row</v>
      </c>
      <c r="F274" s="29" t="str">
        <f>IF(D274="Empty Row", "Empty Row",
   _xlfn.LET(
       _xlpm.lookupResult, _xlfn.XLOOKUP(D274, RawDataTable[Account Name and Number], RawDataTable[Investment Amount], "MISSING VALUE"),
       IF(ISNUMBER(_xlpm.lookupResult), _xlpm.lookupResult, "INVALID VALUE")
   )
)</f>
        <v>Empty Row</v>
      </c>
      <c r="G274" s="28" t="str">
        <f t="shared" ca="1" si="4"/>
        <v>Empty Row</v>
      </c>
      <c r="H274" s="29" t="str">
        <f>IF(D274="Empty Row", "Empty Row",
   _xlfn.LET(
       _xlpm.lookupResult, _xlfn.XLOOKUP(D274, RawDataTable[Account Name and Number], RawDataTable[Valuation Amount], "MISSING VALUE"),
       IF(ISNUMBER(_xlpm.lookupResult), _xlpm.lookupResult, "INVALID VALUE")
   )
)</f>
        <v>Empty Row</v>
      </c>
      <c r="I274" s="2" t="str">
        <f>IF(D274="Empty Row", "Empty Row", IF(_xlfn.XLOOKUP(B274, MasterTable[IRA Custodian], MasterTable[Address], "")="", "NO STREET NAME FOUND", _xlfn.XLOOKUP(B274, MasterTable[IRA Custodian], MasterTable[Address], "")))</f>
        <v>Empty Row</v>
      </c>
      <c r="J274" s="2" t="str">
        <f>IF(D274="Empty Row", "Empty Row",
   IF(OR(
       _xlfn.XLOOKUP(B274, MasterTable[IRA Custodian], MasterTable[City], "")="",
       _xlfn.XLOOKUP(B274, MasterTable[IRA Custodian], MasterTable[State], "")="",
       _xlfn.XLOOKUP(B274, MasterTable[IRA Custodian], MasterTable[Zip], "")=""),
       "INCOMPLETE ADDRESS",
       _xlfn.CONCAT(
           _xlfn.XLOOKUP(B274, MasterTable[IRA Custodian], MasterTable[City], ""), ", ",
           _xlfn.XLOOKUP(B274, MasterTable[IRA Custodian], MasterTable[State], ""), " ",
           _xlfn.XLOOKUP(B274, MasterTable[IRA Custodian], MasterTable[Zip], "")
       )
   )
)</f>
        <v>Empty Row</v>
      </c>
    </row>
    <row r="275" spans="1:10" x14ac:dyDescent="0.25">
      <c r="A275" t="str">
        <f>IF(D275="Empty Row", "Empty Row",
   _xlfn.LET(
       _xlpm.lookupResult, _xlfn.XLOOKUP(D275, RawDataTable[Account Name and Number], RawDataTable[Entity], "RAW DATA MISSING"),
       IF(ISBLANK(_xlpm.lookupResult), "RAW DATA MISSING", _xlpm.lookupResult)
   )
)</f>
        <v>Empty Row</v>
      </c>
      <c r="B275" t="str">
        <f>IF(D275="Empty Row", "Empty Row",
   _xlfn.LET(
       _xlpm.rawDataLookup, _xlfn.XLOOKUP(D275,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75" s="56" t="str" cm="1">
        <f t="array" ref="C275">IF(D275="Empty Row", "Empty Row",
   IF(COUNTIF('Name Mapping'!H:AD, D275) &gt; 0,
      INDEX('Name Mapping'!F:F, MATCH(TRUE, MMULT(--('Name Mapping'!H:AD=D275), TRANSPOSE(COLUMN('Name Mapping'!H:AD)^0)) &gt; 0, 0)),
      "")
)</f>
        <v>Empty Row</v>
      </c>
      <c r="D275" t="str">
        <f>IF(RawDataTable[[#This Row],[Account Name and Number]]&lt;&gt;"", RawDataTable[[#This Row],[Account Name and Number]], "Empty Row")</f>
        <v>Empty Row</v>
      </c>
      <c r="E275" s="28" t="str">
        <f>IF(D275="Empty Row", "Empty Row",
   _xlfn.LET(
       _xlpm.lookupResult, _xlfn.XLOOKUP(D275, RawDataTable[Account Name and Number], RawDataTable[Investment Date], "MISSING VALUE"),
       IF(ISNUMBER(_xlpm.lookupResult), _xlpm.lookupResult, "INVALID VALUE")
   )
)</f>
        <v>Empty Row</v>
      </c>
      <c r="F275" s="29" t="str">
        <f>IF(D275="Empty Row", "Empty Row",
   _xlfn.LET(
       _xlpm.lookupResult, _xlfn.XLOOKUP(D275, RawDataTable[Account Name and Number], RawDataTable[Investment Amount], "MISSING VALUE"),
       IF(ISNUMBER(_xlpm.lookupResult), _xlpm.lookupResult, "INVALID VALUE")
   )
)</f>
        <v>Empty Row</v>
      </c>
      <c r="G275" s="28" t="str">
        <f t="shared" ca="1" si="4"/>
        <v>Empty Row</v>
      </c>
      <c r="H275" s="29" t="str">
        <f>IF(D275="Empty Row", "Empty Row",
   _xlfn.LET(
       _xlpm.lookupResult, _xlfn.XLOOKUP(D275, RawDataTable[Account Name and Number], RawDataTable[Valuation Amount], "MISSING VALUE"),
       IF(ISNUMBER(_xlpm.lookupResult), _xlpm.lookupResult, "INVALID VALUE")
   )
)</f>
        <v>Empty Row</v>
      </c>
      <c r="I275" s="2" t="str">
        <f>IF(D275="Empty Row", "Empty Row", IF(_xlfn.XLOOKUP(B275, MasterTable[IRA Custodian], MasterTable[Address], "")="", "NO STREET NAME FOUND", _xlfn.XLOOKUP(B275, MasterTable[IRA Custodian], MasterTable[Address], "")))</f>
        <v>Empty Row</v>
      </c>
      <c r="J275" s="2" t="str">
        <f>IF(D275="Empty Row", "Empty Row",
   IF(OR(
       _xlfn.XLOOKUP(B275, MasterTable[IRA Custodian], MasterTable[City], "")="",
       _xlfn.XLOOKUP(B275, MasterTable[IRA Custodian], MasterTable[State], "")="",
       _xlfn.XLOOKUP(B275, MasterTable[IRA Custodian], MasterTable[Zip], "")=""),
       "INCOMPLETE ADDRESS",
       _xlfn.CONCAT(
           _xlfn.XLOOKUP(B275, MasterTable[IRA Custodian], MasterTable[City], ""), ", ",
           _xlfn.XLOOKUP(B275, MasterTable[IRA Custodian], MasterTable[State], ""), " ",
           _xlfn.XLOOKUP(B275, MasterTable[IRA Custodian], MasterTable[Zip], "")
       )
   )
)</f>
        <v>Empty Row</v>
      </c>
    </row>
    <row r="276" spans="1:10" x14ac:dyDescent="0.25">
      <c r="A276" t="str">
        <f>IF(D276="Empty Row", "Empty Row",
   _xlfn.LET(
       _xlpm.lookupResult, _xlfn.XLOOKUP(D276, RawDataTable[Account Name and Number], RawDataTable[Entity], "RAW DATA MISSING"),
       IF(ISBLANK(_xlpm.lookupResult), "RAW DATA MISSING", _xlpm.lookupResult)
   )
)</f>
        <v>Empty Row</v>
      </c>
      <c r="B276" t="str">
        <f>IF(D276="Empty Row", "Empty Row",
   _xlfn.LET(
       _xlpm.rawDataLookup, _xlfn.XLOOKUP(D276,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76" s="56" t="str" cm="1">
        <f t="array" ref="C276">IF(D276="Empty Row", "Empty Row",
   IF(COUNTIF('Name Mapping'!H:AD, D276) &gt; 0,
      INDEX('Name Mapping'!F:F, MATCH(TRUE, MMULT(--('Name Mapping'!H:AD=D276), TRANSPOSE(COLUMN('Name Mapping'!H:AD)^0)) &gt; 0, 0)),
      "")
)</f>
        <v>Empty Row</v>
      </c>
      <c r="D276" t="str">
        <f>IF(RawDataTable[[#This Row],[Account Name and Number]]&lt;&gt;"", RawDataTable[[#This Row],[Account Name and Number]], "Empty Row")</f>
        <v>Empty Row</v>
      </c>
      <c r="E276" s="28" t="str">
        <f>IF(D276="Empty Row", "Empty Row",
   _xlfn.LET(
       _xlpm.lookupResult, _xlfn.XLOOKUP(D276, RawDataTable[Account Name and Number], RawDataTable[Investment Date], "MISSING VALUE"),
       IF(ISNUMBER(_xlpm.lookupResult), _xlpm.lookupResult, "INVALID VALUE")
   )
)</f>
        <v>Empty Row</v>
      </c>
      <c r="F276" s="29" t="str">
        <f>IF(D276="Empty Row", "Empty Row",
   _xlfn.LET(
       _xlpm.lookupResult, _xlfn.XLOOKUP(D276, RawDataTable[Account Name and Number], RawDataTable[Investment Amount], "MISSING VALUE"),
       IF(ISNUMBER(_xlpm.lookupResult), _xlpm.lookupResult, "INVALID VALUE")
   )
)</f>
        <v>Empty Row</v>
      </c>
      <c r="G276" s="28" t="str">
        <f t="shared" ca="1" si="4"/>
        <v>Empty Row</v>
      </c>
      <c r="H276" s="29" t="str">
        <f>IF(D276="Empty Row", "Empty Row",
   _xlfn.LET(
       _xlpm.lookupResult, _xlfn.XLOOKUP(D276, RawDataTable[Account Name and Number], RawDataTable[Valuation Amount], "MISSING VALUE"),
       IF(ISNUMBER(_xlpm.lookupResult), _xlpm.lookupResult, "INVALID VALUE")
   )
)</f>
        <v>Empty Row</v>
      </c>
      <c r="I276" s="2" t="str">
        <f>IF(D276="Empty Row", "Empty Row", IF(_xlfn.XLOOKUP(B276, MasterTable[IRA Custodian], MasterTable[Address], "")="", "NO STREET NAME FOUND", _xlfn.XLOOKUP(B276, MasterTable[IRA Custodian], MasterTable[Address], "")))</f>
        <v>Empty Row</v>
      </c>
      <c r="J276" s="2" t="str">
        <f>IF(D276="Empty Row", "Empty Row",
   IF(OR(
       _xlfn.XLOOKUP(B276, MasterTable[IRA Custodian], MasterTable[City], "")="",
       _xlfn.XLOOKUP(B276, MasterTable[IRA Custodian], MasterTable[State], "")="",
       _xlfn.XLOOKUP(B276, MasterTable[IRA Custodian], MasterTable[Zip], "")=""),
       "INCOMPLETE ADDRESS",
       _xlfn.CONCAT(
           _xlfn.XLOOKUP(B276, MasterTable[IRA Custodian], MasterTable[City], ""), ", ",
           _xlfn.XLOOKUP(B276, MasterTable[IRA Custodian], MasterTable[State], ""), " ",
           _xlfn.XLOOKUP(B276, MasterTable[IRA Custodian], MasterTable[Zip], "")
       )
   )
)</f>
        <v>Empty Row</v>
      </c>
    </row>
    <row r="277" spans="1:10" x14ac:dyDescent="0.25">
      <c r="A277" t="str">
        <f>IF(D277="Empty Row", "Empty Row",
   _xlfn.LET(
       _xlpm.lookupResult, _xlfn.XLOOKUP(D277, RawDataTable[Account Name and Number], RawDataTable[Entity], "RAW DATA MISSING"),
       IF(ISBLANK(_xlpm.lookupResult), "RAW DATA MISSING", _xlpm.lookupResult)
   )
)</f>
        <v>Empty Row</v>
      </c>
      <c r="B277" t="str">
        <f>IF(D277="Empty Row", "Empty Row",
   _xlfn.LET(
       _xlpm.rawDataLookup, _xlfn.XLOOKUP(D277,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77" s="56" t="str" cm="1">
        <f t="array" ref="C277">IF(D277="Empty Row", "Empty Row",
   IF(COUNTIF('Name Mapping'!H:AD, D277) &gt; 0,
      INDEX('Name Mapping'!F:F, MATCH(TRUE, MMULT(--('Name Mapping'!H:AD=D277), TRANSPOSE(COLUMN('Name Mapping'!H:AD)^0)) &gt; 0, 0)),
      "")
)</f>
        <v>Empty Row</v>
      </c>
      <c r="D277" t="str">
        <f>IF(RawDataTable[[#This Row],[Account Name and Number]]&lt;&gt;"", RawDataTable[[#This Row],[Account Name and Number]], "Empty Row")</f>
        <v>Empty Row</v>
      </c>
      <c r="E277" s="28" t="str">
        <f>IF(D277="Empty Row", "Empty Row",
   _xlfn.LET(
       _xlpm.lookupResult, _xlfn.XLOOKUP(D277, RawDataTable[Account Name and Number], RawDataTable[Investment Date], "MISSING VALUE"),
       IF(ISNUMBER(_xlpm.lookupResult), _xlpm.lookupResult, "INVALID VALUE")
   )
)</f>
        <v>Empty Row</v>
      </c>
      <c r="F277" s="29" t="str">
        <f>IF(D277="Empty Row", "Empty Row",
   _xlfn.LET(
       _xlpm.lookupResult, _xlfn.XLOOKUP(D277, RawDataTable[Account Name and Number], RawDataTable[Investment Amount], "MISSING VALUE"),
       IF(ISNUMBER(_xlpm.lookupResult), _xlpm.lookupResult, "INVALID VALUE")
   )
)</f>
        <v>Empty Row</v>
      </c>
      <c r="G277" s="28" t="str">
        <f t="shared" ca="1" si="4"/>
        <v>Empty Row</v>
      </c>
      <c r="H277" s="29" t="str">
        <f>IF(D277="Empty Row", "Empty Row",
   _xlfn.LET(
       _xlpm.lookupResult, _xlfn.XLOOKUP(D277, RawDataTable[Account Name and Number], RawDataTable[Valuation Amount], "MISSING VALUE"),
       IF(ISNUMBER(_xlpm.lookupResult), _xlpm.lookupResult, "INVALID VALUE")
   )
)</f>
        <v>Empty Row</v>
      </c>
      <c r="I277" s="2" t="str">
        <f>IF(D277="Empty Row", "Empty Row", IF(_xlfn.XLOOKUP(B277, MasterTable[IRA Custodian], MasterTable[Address], "")="", "NO STREET NAME FOUND", _xlfn.XLOOKUP(B277, MasterTable[IRA Custodian], MasterTable[Address], "")))</f>
        <v>Empty Row</v>
      </c>
      <c r="J277" s="2" t="str">
        <f>IF(D277="Empty Row", "Empty Row",
   IF(OR(
       _xlfn.XLOOKUP(B277, MasterTable[IRA Custodian], MasterTable[City], "")="",
       _xlfn.XLOOKUP(B277, MasterTable[IRA Custodian], MasterTable[State], "")="",
       _xlfn.XLOOKUP(B277, MasterTable[IRA Custodian], MasterTable[Zip], "")=""),
       "INCOMPLETE ADDRESS",
       _xlfn.CONCAT(
           _xlfn.XLOOKUP(B277, MasterTable[IRA Custodian], MasterTable[City], ""), ", ",
           _xlfn.XLOOKUP(B277, MasterTable[IRA Custodian], MasterTable[State], ""), " ",
           _xlfn.XLOOKUP(B277, MasterTable[IRA Custodian], MasterTable[Zip], "")
       )
   )
)</f>
        <v>Empty Row</v>
      </c>
    </row>
    <row r="278" spans="1:10" x14ac:dyDescent="0.25">
      <c r="A278" t="str">
        <f>IF(D278="Empty Row", "Empty Row",
   _xlfn.LET(
       _xlpm.lookupResult, _xlfn.XLOOKUP(D278, RawDataTable[Account Name and Number], RawDataTable[Entity], "RAW DATA MISSING"),
       IF(ISBLANK(_xlpm.lookupResult), "RAW DATA MISSING", _xlpm.lookupResult)
   )
)</f>
        <v>Empty Row</v>
      </c>
      <c r="B278" t="str">
        <f>IF(D278="Empty Row", "Empty Row",
   _xlfn.LET(
       _xlpm.rawDataLookup, _xlfn.XLOOKUP(D278,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78" s="56" t="str" cm="1">
        <f t="array" ref="C278">IF(D278="Empty Row", "Empty Row",
   IF(COUNTIF('Name Mapping'!H:AD, D278) &gt; 0,
      INDEX('Name Mapping'!F:F, MATCH(TRUE, MMULT(--('Name Mapping'!H:AD=D278), TRANSPOSE(COLUMN('Name Mapping'!H:AD)^0)) &gt; 0, 0)),
      "")
)</f>
        <v>Empty Row</v>
      </c>
      <c r="D278" t="str">
        <f>IF(RawDataTable[[#This Row],[Account Name and Number]]&lt;&gt;"", RawDataTable[[#This Row],[Account Name and Number]], "Empty Row")</f>
        <v>Empty Row</v>
      </c>
      <c r="E278" s="28" t="str">
        <f>IF(D278="Empty Row", "Empty Row",
   _xlfn.LET(
       _xlpm.lookupResult, _xlfn.XLOOKUP(D278, RawDataTable[Account Name and Number], RawDataTable[Investment Date], "MISSING VALUE"),
       IF(ISNUMBER(_xlpm.lookupResult), _xlpm.lookupResult, "INVALID VALUE")
   )
)</f>
        <v>Empty Row</v>
      </c>
      <c r="F278" s="29" t="str">
        <f>IF(D278="Empty Row", "Empty Row",
   _xlfn.LET(
       _xlpm.lookupResult, _xlfn.XLOOKUP(D278, RawDataTable[Account Name and Number], RawDataTable[Investment Amount], "MISSING VALUE"),
       IF(ISNUMBER(_xlpm.lookupResult), _xlpm.lookupResult, "INVALID VALUE")
   )
)</f>
        <v>Empty Row</v>
      </c>
      <c r="G278" s="28" t="str">
        <f t="shared" ca="1" si="4"/>
        <v>Empty Row</v>
      </c>
      <c r="H278" s="29" t="str">
        <f>IF(D278="Empty Row", "Empty Row",
   _xlfn.LET(
       _xlpm.lookupResult, _xlfn.XLOOKUP(D278, RawDataTable[Account Name and Number], RawDataTable[Valuation Amount], "MISSING VALUE"),
       IF(ISNUMBER(_xlpm.lookupResult), _xlpm.lookupResult, "INVALID VALUE")
   )
)</f>
        <v>Empty Row</v>
      </c>
      <c r="I278" s="2" t="str">
        <f>IF(D278="Empty Row", "Empty Row", IF(_xlfn.XLOOKUP(B278, MasterTable[IRA Custodian], MasterTable[Address], "")="", "NO STREET NAME FOUND", _xlfn.XLOOKUP(B278, MasterTable[IRA Custodian], MasterTable[Address], "")))</f>
        <v>Empty Row</v>
      </c>
      <c r="J278" s="2" t="str">
        <f>IF(D278="Empty Row", "Empty Row",
   IF(OR(
       _xlfn.XLOOKUP(B278, MasterTable[IRA Custodian], MasterTable[City], "")="",
       _xlfn.XLOOKUP(B278, MasterTable[IRA Custodian], MasterTable[State], "")="",
       _xlfn.XLOOKUP(B278, MasterTable[IRA Custodian], MasterTable[Zip], "")=""),
       "INCOMPLETE ADDRESS",
       _xlfn.CONCAT(
           _xlfn.XLOOKUP(B278, MasterTable[IRA Custodian], MasterTable[City], ""), ", ",
           _xlfn.XLOOKUP(B278, MasterTable[IRA Custodian], MasterTable[State], ""), " ",
           _xlfn.XLOOKUP(B278, MasterTable[IRA Custodian], MasterTable[Zip], "")
       )
   )
)</f>
        <v>Empty Row</v>
      </c>
    </row>
    <row r="279" spans="1:10" x14ac:dyDescent="0.25">
      <c r="A279" t="str">
        <f>IF(D279="Empty Row", "Empty Row",
   _xlfn.LET(
       _xlpm.lookupResult, _xlfn.XLOOKUP(D279, RawDataTable[Account Name and Number], RawDataTable[Entity], "RAW DATA MISSING"),
       IF(ISBLANK(_xlpm.lookupResult), "RAW DATA MISSING", _xlpm.lookupResult)
   )
)</f>
        <v>Empty Row</v>
      </c>
      <c r="B279" t="str">
        <f>IF(D279="Empty Row", "Empty Row",
   _xlfn.LET(
       _xlpm.rawDataLookup, _xlfn.XLOOKUP(D279,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79" s="56" t="str" cm="1">
        <f t="array" ref="C279">IF(D279="Empty Row", "Empty Row",
   IF(COUNTIF('Name Mapping'!H:AD, D279) &gt; 0,
      INDEX('Name Mapping'!F:F, MATCH(TRUE, MMULT(--('Name Mapping'!H:AD=D279), TRANSPOSE(COLUMN('Name Mapping'!H:AD)^0)) &gt; 0, 0)),
      "")
)</f>
        <v>Empty Row</v>
      </c>
      <c r="D279" t="str">
        <f>IF(RawDataTable[[#This Row],[Account Name and Number]]&lt;&gt;"", RawDataTable[[#This Row],[Account Name and Number]], "Empty Row")</f>
        <v>Empty Row</v>
      </c>
      <c r="E279" s="28" t="str">
        <f>IF(D279="Empty Row", "Empty Row",
   _xlfn.LET(
       _xlpm.lookupResult, _xlfn.XLOOKUP(D279, RawDataTable[Account Name and Number], RawDataTable[Investment Date], "MISSING VALUE"),
       IF(ISNUMBER(_xlpm.lookupResult), _xlpm.lookupResult, "INVALID VALUE")
   )
)</f>
        <v>Empty Row</v>
      </c>
      <c r="F279" s="29" t="str">
        <f>IF(D279="Empty Row", "Empty Row",
   _xlfn.LET(
       _xlpm.lookupResult, _xlfn.XLOOKUP(D279, RawDataTable[Account Name and Number], RawDataTable[Investment Amount], "MISSING VALUE"),
       IF(ISNUMBER(_xlpm.lookupResult), _xlpm.lookupResult, "INVALID VALUE")
   )
)</f>
        <v>Empty Row</v>
      </c>
      <c r="G279" s="28" t="str">
        <f t="shared" ca="1" si="4"/>
        <v>Empty Row</v>
      </c>
      <c r="H279" s="29" t="str">
        <f>IF(D279="Empty Row", "Empty Row",
   _xlfn.LET(
       _xlpm.lookupResult, _xlfn.XLOOKUP(D279, RawDataTable[Account Name and Number], RawDataTable[Valuation Amount], "MISSING VALUE"),
       IF(ISNUMBER(_xlpm.lookupResult), _xlpm.lookupResult, "INVALID VALUE")
   )
)</f>
        <v>Empty Row</v>
      </c>
      <c r="I279" s="2" t="str">
        <f>IF(D279="Empty Row", "Empty Row", IF(_xlfn.XLOOKUP(B279, MasterTable[IRA Custodian], MasterTable[Address], "")="", "NO STREET NAME FOUND", _xlfn.XLOOKUP(B279, MasterTable[IRA Custodian], MasterTable[Address], "")))</f>
        <v>Empty Row</v>
      </c>
      <c r="J279" s="2" t="str">
        <f>IF(D279="Empty Row", "Empty Row",
   IF(OR(
       _xlfn.XLOOKUP(B279, MasterTable[IRA Custodian], MasterTable[City], "")="",
       _xlfn.XLOOKUP(B279, MasterTable[IRA Custodian], MasterTable[State], "")="",
       _xlfn.XLOOKUP(B279, MasterTable[IRA Custodian], MasterTable[Zip], "")=""),
       "INCOMPLETE ADDRESS",
       _xlfn.CONCAT(
           _xlfn.XLOOKUP(B279, MasterTable[IRA Custodian], MasterTable[City], ""), ", ",
           _xlfn.XLOOKUP(B279, MasterTable[IRA Custodian], MasterTable[State], ""), " ",
           _xlfn.XLOOKUP(B279, MasterTable[IRA Custodian], MasterTable[Zip], "")
       )
   )
)</f>
        <v>Empty Row</v>
      </c>
    </row>
    <row r="280" spans="1:10" x14ac:dyDescent="0.25">
      <c r="A280" t="str">
        <f>IF(D280="Empty Row", "Empty Row",
   _xlfn.LET(
       _xlpm.lookupResult, _xlfn.XLOOKUP(D280, RawDataTable[Account Name and Number], RawDataTable[Entity], "RAW DATA MISSING"),
       IF(ISBLANK(_xlpm.lookupResult), "RAW DATA MISSING", _xlpm.lookupResult)
   )
)</f>
        <v>Empty Row</v>
      </c>
      <c r="B280" t="str">
        <f>IF(D280="Empty Row", "Empty Row",
   _xlfn.LET(
       _xlpm.rawDataLookup, _xlfn.XLOOKUP(D280,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80" s="56" t="str" cm="1">
        <f t="array" ref="C280">IF(D280="Empty Row", "Empty Row",
   IF(COUNTIF('Name Mapping'!H:AD, D280) &gt; 0,
      INDEX('Name Mapping'!F:F, MATCH(TRUE, MMULT(--('Name Mapping'!H:AD=D280), TRANSPOSE(COLUMN('Name Mapping'!H:AD)^0)) &gt; 0, 0)),
      "")
)</f>
        <v>Empty Row</v>
      </c>
      <c r="D280" t="str">
        <f>IF(RawDataTable[[#This Row],[Account Name and Number]]&lt;&gt;"", RawDataTable[[#This Row],[Account Name and Number]], "Empty Row")</f>
        <v>Empty Row</v>
      </c>
      <c r="E280" s="28" t="str">
        <f>IF(D280="Empty Row", "Empty Row",
   _xlfn.LET(
       _xlpm.lookupResult, _xlfn.XLOOKUP(D280, RawDataTable[Account Name and Number], RawDataTable[Investment Date], "MISSING VALUE"),
       IF(ISNUMBER(_xlpm.lookupResult), _xlpm.lookupResult, "INVALID VALUE")
   )
)</f>
        <v>Empty Row</v>
      </c>
      <c r="F280" s="29" t="str">
        <f>IF(D280="Empty Row", "Empty Row",
   _xlfn.LET(
       _xlpm.lookupResult, _xlfn.XLOOKUP(D280, RawDataTable[Account Name and Number], RawDataTable[Investment Amount], "MISSING VALUE"),
       IF(ISNUMBER(_xlpm.lookupResult), _xlpm.lookupResult, "INVALID VALUE")
   )
)</f>
        <v>Empty Row</v>
      </c>
      <c r="G280" s="28" t="str">
        <f t="shared" ca="1" si="4"/>
        <v>Empty Row</v>
      </c>
      <c r="H280" s="29" t="str">
        <f>IF(D280="Empty Row", "Empty Row",
   _xlfn.LET(
       _xlpm.lookupResult, _xlfn.XLOOKUP(D280, RawDataTable[Account Name and Number], RawDataTable[Valuation Amount], "MISSING VALUE"),
       IF(ISNUMBER(_xlpm.lookupResult), _xlpm.lookupResult, "INVALID VALUE")
   )
)</f>
        <v>Empty Row</v>
      </c>
      <c r="I280" s="2" t="str">
        <f>IF(D280="Empty Row", "Empty Row", IF(_xlfn.XLOOKUP(B280, MasterTable[IRA Custodian], MasterTable[Address], "")="", "NO STREET NAME FOUND", _xlfn.XLOOKUP(B280, MasterTable[IRA Custodian], MasterTable[Address], "")))</f>
        <v>Empty Row</v>
      </c>
      <c r="J280" s="2" t="str">
        <f>IF(D280="Empty Row", "Empty Row",
   IF(OR(
       _xlfn.XLOOKUP(B280, MasterTable[IRA Custodian], MasterTable[City], "")="",
       _xlfn.XLOOKUP(B280, MasterTable[IRA Custodian], MasterTable[State], "")="",
       _xlfn.XLOOKUP(B280, MasterTable[IRA Custodian], MasterTable[Zip], "")=""),
       "INCOMPLETE ADDRESS",
       _xlfn.CONCAT(
           _xlfn.XLOOKUP(B280, MasterTable[IRA Custodian], MasterTable[City], ""), ", ",
           _xlfn.XLOOKUP(B280, MasterTable[IRA Custodian], MasterTable[State], ""), " ",
           _xlfn.XLOOKUP(B280, MasterTable[IRA Custodian], MasterTable[Zip], "")
       )
   )
)</f>
        <v>Empty Row</v>
      </c>
    </row>
    <row r="281" spans="1:10" x14ac:dyDescent="0.25">
      <c r="A281" t="str">
        <f>IF(D281="Empty Row", "Empty Row",
   _xlfn.LET(
       _xlpm.lookupResult, _xlfn.XLOOKUP(D281, RawDataTable[Account Name and Number], RawDataTable[Entity], "RAW DATA MISSING"),
       IF(ISBLANK(_xlpm.lookupResult), "RAW DATA MISSING", _xlpm.lookupResult)
   )
)</f>
        <v>Empty Row</v>
      </c>
      <c r="B281" t="str">
        <f>IF(D281="Empty Row", "Empty Row",
   _xlfn.LET(
       _xlpm.rawDataLookup, _xlfn.XLOOKUP(D281,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81" s="56" t="str" cm="1">
        <f t="array" ref="C281">IF(D281="Empty Row", "Empty Row",
   IF(COUNTIF('Name Mapping'!H:AD, D281) &gt; 0,
      INDEX('Name Mapping'!F:F, MATCH(TRUE, MMULT(--('Name Mapping'!H:AD=D281), TRANSPOSE(COLUMN('Name Mapping'!H:AD)^0)) &gt; 0, 0)),
      "")
)</f>
        <v>Empty Row</v>
      </c>
      <c r="D281" t="str">
        <f>IF(RawDataTable[[#This Row],[Account Name and Number]]&lt;&gt;"", RawDataTable[[#This Row],[Account Name and Number]], "Empty Row")</f>
        <v>Empty Row</v>
      </c>
      <c r="E281" s="28" t="str">
        <f>IF(D281="Empty Row", "Empty Row",
   _xlfn.LET(
       _xlpm.lookupResult, _xlfn.XLOOKUP(D281, RawDataTable[Account Name and Number], RawDataTable[Investment Date], "MISSING VALUE"),
       IF(ISNUMBER(_xlpm.lookupResult), _xlpm.lookupResult, "INVALID VALUE")
   )
)</f>
        <v>Empty Row</v>
      </c>
      <c r="F281" s="29" t="str">
        <f>IF(D281="Empty Row", "Empty Row",
   _xlfn.LET(
       _xlpm.lookupResult, _xlfn.XLOOKUP(D281, RawDataTable[Account Name and Number], RawDataTable[Investment Amount], "MISSING VALUE"),
       IF(ISNUMBER(_xlpm.lookupResult), _xlpm.lookupResult, "INVALID VALUE")
   )
)</f>
        <v>Empty Row</v>
      </c>
      <c r="G281" s="28" t="str">
        <f t="shared" ca="1" si="4"/>
        <v>Empty Row</v>
      </c>
      <c r="H281" s="29" t="str">
        <f>IF(D281="Empty Row", "Empty Row",
   _xlfn.LET(
       _xlpm.lookupResult, _xlfn.XLOOKUP(D281, RawDataTable[Account Name and Number], RawDataTable[Valuation Amount], "MISSING VALUE"),
       IF(ISNUMBER(_xlpm.lookupResult), _xlpm.lookupResult, "INVALID VALUE")
   )
)</f>
        <v>Empty Row</v>
      </c>
      <c r="I281" s="2" t="str">
        <f>IF(D281="Empty Row", "Empty Row", IF(_xlfn.XLOOKUP(B281, MasterTable[IRA Custodian], MasterTable[Address], "")="", "NO STREET NAME FOUND", _xlfn.XLOOKUP(B281, MasterTable[IRA Custodian], MasterTable[Address], "")))</f>
        <v>Empty Row</v>
      </c>
      <c r="J281" s="2" t="str">
        <f>IF(D281="Empty Row", "Empty Row",
   IF(OR(
       _xlfn.XLOOKUP(B281, MasterTable[IRA Custodian], MasterTable[City], "")="",
       _xlfn.XLOOKUP(B281, MasterTable[IRA Custodian], MasterTable[State], "")="",
       _xlfn.XLOOKUP(B281, MasterTable[IRA Custodian], MasterTable[Zip], "")=""),
       "INCOMPLETE ADDRESS",
       _xlfn.CONCAT(
           _xlfn.XLOOKUP(B281, MasterTable[IRA Custodian], MasterTable[City], ""), ", ",
           _xlfn.XLOOKUP(B281, MasterTable[IRA Custodian], MasterTable[State], ""), " ",
           _xlfn.XLOOKUP(B281, MasterTable[IRA Custodian], MasterTable[Zip], "")
       )
   )
)</f>
        <v>Empty Row</v>
      </c>
    </row>
    <row r="282" spans="1:10" x14ac:dyDescent="0.25">
      <c r="A282" t="str">
        <f>IF(D282="Empty Row", "Empty Row",
   _xlfn.LET(
       _xlpm.lookupResult, _xlfn.XLOOKUP(D282, RawDataTable[Account Name and Number], RawDataTable[Entity], "RAW DATA MISSING"),
       IF(ISBLANK(_xlpm.lookupResult), "RAW DATA MISSING", _xlpm.lookupResult)
   )
)</f>
        <v>Empty Row</v>
      </c>
      <c r="B282" t="str">
        <f>IF(D282="Empty Row", "Empty Row",
   _xlfn.LET(
       _xlpm.rawDataLookup, _xlfn.XLOOKUP(D282,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82" s="56" t="str" cm="1">
        <f t="array" ref="C282">IF(D282="Empty Row", "Empty Row",
   IF(COUNTIF('Name Mapping'!H:AD, D282) &gt; 0,
      INDEX('Name Mapping'!F:F, MATCH(TRUE, MMULT(--('Name Mapping'!H:AD=D282), TRANSPOSE(COLUMN('Name Mapping'!H:AD)^0)) &gt; 0, 0)),
      "")
)</f>
        <v>Empty Row</v>
      </c>
      <c r="D282" t="str">
        <f>IF(RawDataTable[[#This Row],[Account Name and Number]]&lt;&gt;"", RawDataTable[[#This Row],[Account Name and Number]], "Empty Row")</f>
        <v>Empty Row</v>
      </c>
      <c r="E282" s="28" t="str">
        <f>IF(D282="Empty Row", "Empty Row",
   _xlfn.LET(
       _xlpm.lookupResult, _xlfn.XLOOKUP(D282, RawDataTable[Account Name and Number], RawDataTable[Investment Date], "MISSING VALUE"),
       IF(ISNUMBER(_xlpm.lookupResult), _xlpm.lookupResult, "INVALID VALUE")
   )
)</f>
        <v>Empty Row</v>
      </c>
      <c r="F282" s="29" t="str">
        <f>IF(D282="Empty Row", "Empty Row",
   _xlfn.LET(
       _xlpm.lookupResult, _xlfn.XLOOKUP(D282, RawDataTable[Account Name and Number], RawDataTable[Investment Amount], "MISSING VALUE"),
       IF(ISNUMBER(_xlpm.lookupResult), _xlpm.lookupResult, "INVALID VALUE")
   )
)</f>
        <v>Empty Row</v>
      </c>
      <c r="G282" s="28" t="str">
        <f t="shared" ca="1" si="4"/>
        <v>Empty Row</v>
      </c>
      <c r="H282" s="29" t="str">
        <f>IF(D282="Empty Row", "Empty Row",
   _xlfn.LET(
       _xlpm.lookupResult, _xlfn.XLOOKUP(D282, RawDataTable[Account Name and Number], RawDataTable[Valuation Amount], "MISSING VALUE"),
       IF(ISNUMBER(_xlpm.lookupResult), _xlpm.lookupResult, "INVALID VALUE")
   )
)</f>
        <v>Empty Row</v>
      </c>
      <c r="I282" s="2" t="str">
        <f>IF(D282="Empty Row", "Empty Row", IF(_xlfn.XLOOKUP(B282, MasterTable[IRA Custodian], MasterTable[Address], "")="", "NO STREET NAME FOUND", _xlfn.XLOOKUP(B282, MasterTable[IRA Custodian], MasterTable[Address], "")))</f>
        <v>Empty Row</v>
      </c>
      <c r="J282" s="2" t="str">
        <f>IF(D282="Empty Row", "Empty Row",
   IF(OR(
       _xlfn.XLOOKUP(B282, MasterTable[IRA Custodian], MasterTable[City], "")="",
       _xlfn.XLOOKUP(B282, MasterTable[IRA Custodian], MasterTable[State], "")="",
       _xlfn.XLOOKUP(B282, MasterTable[IRA Custodian], MasterTable[Zip], "")=""),
       "INCOMPLETE ADDRESS",
       _xlfn.CONCAT(
           _xlfn.XLOOKUP(B282, MasterTable[IRA Custodian], MasterTable[City], ""), ", ",
           _xlfn.XLOOKUP(B282, MasterTable[IRA Custodian], MasterTable[State], ""), " ",
           _xlfn.XLOOKUP(B282, MasterTable[IRA Custodian], MasterTable[Zip], "")
       )
   )
)</f>
        <v>Empty Row</v>
      </c>
    </row>
    <row r="283" spans="1:10" x14ac:dyDescent="0.25">
      <c r="A283" t="str">
        <f>IF(D283="Empty Row", "Empty Row",
   _xlfn.LET(
       _xlpm.lookupResult, _xlfn.XLOOKUP(D283, RawDataTable[Account Name and Number], RawDataTable[Entity], "RAW DATA MISSING"),
       IF(ISBLANK(_xlpm.lookupResult), "RAW DATA MISSING", _xlpm.lookupResult)
   )
)</f>
        <v>Empty Row</v>
      </c>
      <c r="B283" t="str">
        <f>IF(D283="Empty Row", "Empty Row",
   _xlfn.LET(
       _xlpm.rawDataLookup, _xlfn.XLOOKUP(D283,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83" s="56" t="str" cm="1">
        <f t="array" ref="C283">IF(D283="Empty Row", "Empty Row",
   IF(COUNTIF('Name Mapping'!H:AD, D283) &gt; 0,
      INDEX('Name Mapping'!F:F, MATCH(TRUE, MMULT(--('Name Mapping'!H:AD=D283), TRANSPOSE(COLUMN('Name Mapping'!H:AD)^0)) &gt; 0, 0)),
      "")
)</f>
        <v>Empty Row</v>
      </c>
      <c r="D283" t="str">
        <f>IF(RawDataTable[[#This Row],[Account Name and Number]]&lt;&gt;"", RawDataTable[[#This Row],[Account Name and Number]], "Empty Row")</f>
        <v>Empty Row</v>
      </c>
      <c r="E283" s="28" t="str">
        <f>IF(D283="Empty Row", "Empty Row",
   _xlfn.LET(
       _xlpm.lookupResult, _xlfn.XLOOKUP(D283, RawDataTable[Account Name and Number], RawDataTable[Investment Date], "MISSING VALUE"),
       IF(ISNUMBER(_xlpm.lookupResult), _xlpm.lookupResult, "INVALID VALUE")
   )
)</f>
        <v>Empty Row</v>
      </c>
      <c r="F283" s="29" t="str">
        <f>IF(D283="Empty Row", "Empty Row",
   _xlfn.LET(
       _xlpm.lookupResult, _xlfn.XLOOKUP(D283, RawDataTable[Account Name and Number], RawDataTable[Investment Amount], "MISSING VALUE"),
       IF(ISNUMBER(_xlpm.lookupResult), _xlpm.lookupResult, "INVALID VALUE")
   )
)</f>
        <v>Empty Row</v>
      </c>
      <c r="G283" s="28" t="str">
        <f t="shared" ca="1" si="4"/>
        <v>Empty Row</v>
      </c>
      <c r="H283" s="29" t="str">
        <f>IF(D283="Empty Row", "Empty Row",
   _xlfn.LET(
       _xlpm.lookupResult, _xlfn.XLOOKUP(D283, RawDataTable[Account Name and Number], RawDataTable[Valuation Amount], "MISSING VALUE"),
       IF(ISNUMBER(_xlpm.lookupResult), _xlpm.lookupResult, "INVALID VALUE")
   )
)</f>
        <v>Empty Row</v>
      </c>
      <c r="I283" s="2" t="str">
        <f>IF(D283="Empty Row", "Empty Row", IF(_xlfn.XLOOKUP(B283, MasterTable[IRA Custodian], MasterTable[Address], "")="", "NO STREET NAME FOUND", _xlfn.XLOOKUP(B283, MasterTable[IRA Custodian], MasterTable[Address], "")))</f>
        <v>Empty Row</v>
      </c>
      <c r="J283" s="2" t="str">
        <f>IF(D283="Empty Row", "Empty Row",
   IF(OR(
       _xlfn.XLOOKUP(B283, MasterTable[IRA Custodian], MasterTable[City], "")="",
       _xlfn.XLOOKUP(B283, MasterTable[IRA Custodian], MasterTable[State], "")="",
       _xlfn.XLOOKUP(B283, MasterTable[IRA Custodian], MasterTable[Zip], "")=""),
       "INCOMPLETE ADDRESS",
       _xlfn.CONCAT(
           _xlfn.XLOOKUP(B283, MasterTable[IRA Custodian], MasterTable[City], ""), ", ",
           _xlfn.XLOOKUP(B283, MasterTable[IRA Custodian], MasterTable[State], ""), " ",
           _xlfn.XLOOKUP(B283, MasterTable[IRA Custodian], MasterTable[Zip], "")
       )
   )
)</f>
        <v>Empty Row</v>
      </c>
    </row>
    <row r="284" spans="1:10" x14ac:dyDescent="0.25">
      <c r="A284" t="str">
        <f>IF(D284="Empty Row", "Empty Row",
   _xlfn.LET(
       _xlpm.lookupResult, _xlfn.XLOOKUP(D284, RawDataTable[Account Name and Number], RawDataTable[Entity], "RAW DATA MISSING"),
       IF(ISBLANK(_xlpm.lookupResult), "RAW DATA MISSING", _xlpm.lookupResult)
   )
)</f>
        <v>Empty Row</v>
      </c>
      <c r="B284" t="str">
        <f>IF(D284="Empty Row", "Empty Row",
   _xlfn.LET(
       _xlpm.rawDataLookup, _xlfn.XLOOKUP(D284,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84" s="56" t="str" cm="1">
        <f t="array" ref="C284">IF(D284="Empty Row", "Empty Row",
   IF(COUNTIF('Name Mapping'!H:AD, D284) &gt; 0,
      INDEX('Name Mapping'!F:F, MATCH(TRUE, MMULT(--('Name Mapping'!H:AD=D284), TRANSPOSE(COLUMN('Name Mapping'!H:AD)^0)) &gt; 0, 0)),
      "")
)</f>
        <v>Empty Row</v>
      </c>
      <c r="D284" t="str">
        <f>IF(RawDataTable[[#This Row],[Account Name and Number]]&lt;&gt;"", RawDataTable[[#This Row],[Account Name and Number]], "Empty Row")</f>
        <v>Empty Row</v>
      </c>
      <c r="E284" s="28" t="str">
        <f>IF(D284="Empty Row", "Empty Row",
   _xlfn.LET(
       _xlpm.lookupResult, _xlfn.XLOOKUP(D284, RawDataTable[Account Name and Number], RawDataTable[Investment Date], "MISSING VALUE"),
       IF(ISNUMBER(_xlpm.lookupResult), _xlpm.lookupResult, "INVALID VALUE")
   )
)</f>
        <v>Empty Row</v>
      </c>
      <c r="F284" s="29" t="str">
        <f>IF(D284="Empty Row", "Empty Row",
   _xlfn.LET(
       _xlpm.lookupResult, _xlfn.XLOOKUP(D284, RawDataTable[Account Name and Number], RawDataTable[Investment Amount], "MISSING VALUE"),
       IF(ISNUMBER(_xlpm.lookupResult), _xlpm.lookupResult, "INVALID VALUE")
   )
)</f>
        <v>Empty Row</v>
      </c>
      <c r="G284" s="28" t="str">
        <f t="shared" ca="1" si="4"/>
        <v>Empty Row</v>
      </c>
      <c r="H284" s="29" t="str">
        <f>IF(D284="Empty Row", "Empty Row",
   _xlfn.LET(
       _xlpm.lookupResult, _xlfn.XLOOKUP(D284, RawDataTable[Account Name and Number], RawDataTable[Valuation Amount], "MISSING VALUE"),
       IF(ISNUMBER(_xlpm.lookupResult), _xlpm.lookupResult, "INVALID VALUE")
   )
)</f>
        <v>Empty Row</v>
      </c>
      <c r="I284" s="2" t="str">
        <f>IF(D284="Empty Row", "Empty Row", IF(_xlfn.XLOOKUP(B284, MasterTable[IRA Custodian], MasterTable[Address], "")="", "NO STREET NAME FOUND", _xlfn.XLOOKUP(B284, MasterTable[IRA Custodian], MasterTable[Address], "")))</f>
        <v>Empty Row</v>
      </c>
      <c r="J284" s="2" t="str">
        <f>IF(D284="Empty Row", "Empty Row",
   IF(OR(
       _xlfn.XLOOKUP(B284, MasterTable[IRA Custodian], MasterTable[City], "")="",
       _xlfn.XLOOKUP(B284, MasterTable[IRA Custodian], MasterTable[State], "")="",
       _xlfn.XLOOKUP(B284, MasterTable[IRA Custodian], MasterTable[Zip], "")=""),
       "INCOMPLETE ADDRESS",
       _xlfn.CONCAT(
           _xlfn.XLOOKUP(B284, MasterTable[IRA Custodian], MasterTable[City], ""), ", ",
           _xlfn.XLOOKUP(B284, MasterTable[IRA Custodian], MasterTable[State], ""), " ",
           _xlfn.XLOOKUP(B284, MasterTable[IRA Custodian], MasterTable[Zip], "")
       )
   )
)</f>
        <v>Empty Row</v>
      </c>
    </row>
    <row r="285" spans="1:10" x14ac:dyDescent="0.25">
      <c r="A285" t="str">
        <f>IF(D285="Empty Row", "Empty Row",
   _xlfn.LET(
       _xlpm.lookupResult, _xlfn.XLOOKUP(D285, RawDataTable[Account Name and Number], RawDataTable[Entity], "RAW DATA MISSING"),
       IF(ISBLANK(_xlpm.lookupResult), "RAW DATA MISSING", _xlpm.lookupResult)
   )
)</f>
        <v>Empty Row</v>
      </c>
      <c r="B285" t="str">
        <f>IF(D285="Empty Row", "Empty Row",
   _xlfn.LET(
       _xlpm.rawDataLookup, _xlfn.XLOOKUP(D285,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85" s="56" t="str" cm="1">
        <f t="array" ref="C285">IF(D285="Empty Row", "Empty Row",
   IF(COUNTIF('Name Mapping'!H:AD, D285) &gt; 0,
      INDEX('Name Mapping'!F:F, MATCH(TRUE, MMULT(--('Name Mapping'!H:AD=D285), TRANSPOSE(COLUMN('Name Mapping'!H:AD)^0)) &gt; 0, 0)),
      "")
)</f>
        <v>Empty Row</v>
      </c>
      <c r="D285" t="str">
        <f>IF(RawDataTable[[#This Row],[Account Name and Number]]&lt;&gt;"", RawDataTable[[#This Row],[Account Name and Number]], "Empty Row")</f>
        <v>Empty Row</v>
      </c>
      <c r="E285" s="28" t="str">
        <f>IF(D285="Empty Row", "Empty Row",
   _xlfn.LET(
       _xlpm.lookupResult, _xlfn.XLOOKUP(D285, RawDataTable[Account Name and Number], RawDataTable[Investment Date], "MISSING VALUE"),
       IF(ISNUMBER(_xlpm.lookupResult), _xlpm.lookupResult, "INVALID VALUE")
   )
)</f>
        <v>Empty Row</v>
      </c>
      <c r="F285" s="29" t="str">
        <f>IF(D285="Empty Row", "Empty Row",
   _xlfn.LET(
       _xlpm.lookupResult, _xlfn.XLOOKUP(D285, RawDataTable[Account Name and Number], RawDataTable[Investment Amount], "MISSING VALUE"),
       IF(ISNUMBER(_xlpm.lookupResult), _xlpm.lookupResult, "INVALID VALUE")
   )
)</f>
        <v>Empty Row</v>
      </c>
      <c r="G285" s="28" t="str">
        <f t="shared" ca="1" si="4"/>
        <v>Empty Row</v>
      </c>
      <c r="H285" s="29" t="str">
        <f>IF(D285="Empty Row", "Empty Row",
   _xlfn.LET(
       _xlpm.lookupResult, _xlfn.XLOOKUP(D285, RawDataTable[Account Name and Number], RawDataTable[Valuation Amount], "MISSING VALUE"),
       IF(ISNUMBER(_xlpm.lookupResult), _xlpm.lookupResult, "INVALID VALUE")
   )
)</f>
        <v>Empty Row</v>
      </c>
      <c r="I285" s="2" t="str">
        <f>IF(D285="Empty Row", "Empty Row", IF(_xlfn.XLOOKUP(B285, MasterTable[IRA Custodian], MasterTable[Address], "")="", "NO STREET NAME FOUND", _xlfn.XLOOKUP(B285, MasterTable[IRA Custodian], MasterTable[Address], "")))</f>
        <v>Empty Row</v>
      </c>
      <c r="J285" s="2" t="str">
        <f>IF(D285="Empty Row", "Empty Row",
   IF(OR(
       _xlfn.XLOOKUP(B285, MasterTable[IRA Custodian], MasterTable[City], "")="",
       _xlfn.XLOOKUP(B285, MasterTable[IRA Custodian], MasterTable[State], "")="",
       _xlfn.XLOOKUP(B285, MasterTable[IRA Custodian], MasterTable[Zip], "")=""),
       "INCOMPLETE ADDRESS",
       _xlfn.CONCAT(
           _xlfn.XLOOKUP(B285, MasterTable[IRA Custodian], MasterTable[City], ""), ", ",
           _xlfn.XLOOKUP(B285, MasterTable[IRA Custodian], MasterTable[State], ""), " ",
           _xlfn.XLOOKUP(B285, MasterTable[IRA Custodian], MasterTable[Zip], "")
       )
   )
)</f>
        <v>Empty Row</v>
      </c>
    </row>
    <row r="286" spans="1:10" x14ac:dyDescent="0.25">
      <c r="A286" t="str">
        <f>IF(D286="Empty Row", "Empty Row",
   _xlfn.LET(
       _xlpm.lookupResult, _xlfn.XLOOKUP(D286, RawDataTable[Account Name and Number], RawDataTable[Entity], "RAW DATA MISSING"),
       IF(ISBLANK(_xlpm.lookupResult), "RAW DATA MISSING", _xlpm.lookupResult)
   )
)</f>
        <v>Empty Row</v>
      </c>
      <c r="B286" t="str">
        <f>IF(D286="Empty Row", "Empty Row",
   _xlfn.LET(
       _xlpm.rawDataLookup, _xlfn.XLOOKUP(D286,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86" s="56" t="str" cm="1">
        <f t="array" ref="C286">IF(D286="Empty Row", "Empty Row",
   IF(COUNTIF('Name Mapping'!H:AD, D286) &gt; 0,
      INDEX('Name Mapping'!F:F, MATCH(TRUE, MMULT(--('Name Mapping'!H:AD=D286), TRANSPOSE(COLUMN('Name Mapping'!H:AD)^0)) &gt; 0, 0)),
      "")
)</f>
        <v>Empty Row</v>
      </c>
      <c r="D286" t="str">
        <f>IF(RawDataTable[[#This Row],[Account Name and Number]]&lt;&gt;"", RawDataTable[[#This Row],[Account Name and Number]], "Empty Row")</f>
        <v>Empty Row</v>
      </c>
      <c r="E286" s="28" t="str">
        <f>IF(D286="Empty Row", "Empty Row",
   _xlfn.LET(
       _xlpm.lookupResult, _xlfn.XLOOKUP(D286, RawDataTable[Account Name and Number], RawDataTable[Investment Date], "MISSING VALUE"),
       IF(ISNUMBER(_xlpm.lookupResult), _xlpm.lookupResult, "INVALID VALUE")
   )
)</f>
        <v>Empty Row</v>
      </c>
      <c r="F286" s="29" t="str">
        <f>IF(D286="Empty Row", "Empty Row",
   _xlfn.LET(
       _xlpm.lookupResult, _xlfn.XLOOKUP(D286, RawDataTable[Account Name and Number], RawDataTable[Investment Amount], "MISSING VALUE"),
       IF(ISNUMBER(_xlpm.lookupResult), _xlpm.lookupResult, "INVALID VALUE")
   )
)</f>
        <v>Empty Row</v>
      </c>
      <c r="G286" s="28" t="str">
        <f t="shared" ca="1" si="4"/>
        <v>Empty Row</v>
      </c>
      <c r="H286" s="29" t="str">
        <f>IF(D286="Empty Row", "Empty Row",
   _xlfn.LET(
       _xlpm.lookupResult, _xlfn.XLOOKUP(D286, RawDataTable[Account Name and Number], RawDataTable[Valuation Amount], "MISSING VALUE"),
       IF(ISNUMBER(_xlpm.lookupResult), _xlpm.lookupResult, "INVALID VALUE")
   )
)</f>
        <v>Empty Row</v>
      </c>
      <c r="I286" s="2" t="str">
        <f>IF(D286="Empty Row", "Empty Row", IF(_xlfn.XLOOKUP(B286, MasterTable[IRA Custodian], MasterTable[Address], "")="", "NO STREET NAME FOUND", _xlfn.XLOOKUP(B286, MasterTable[IRA Custodian], MasterTable[Address], "")))</f>
        <v>Empty Row</v>
      </c>
      <c r="J286" s="2" t="str">
        <f>IF(D286="Empty Row", "Empty Row",
   IF(OR(
       _xlfn.XLOOKUP(B286, MasterTable[IRA Custodian], MasterTable[City], "")="",
       _xlfn.XLOOKUP(B286, MasterTable[IRA Custodian], MasterTable[State], "")="",
       _xlfn.XLOOKUP(B286, MasterTable[IRA Custodian], MasterTable[Zip], "")=""),
       "INCOMPLETE ADDRESS",
       _xlfn.CONCAT(
           _xlfn.XLOOKUP(B286, MasterTable[IRA Custodian], MasterTable[City], ""), ", ",
           _xlfn.XLOOKUP(B286, MasterTable[IRA Custodian], MasterTable[State], ""), " ",
           _xlfn.XLOOKUP(B286, MasterTable[IRA Custodian], MasterTable[Zip], "")
       )
   )
)</f>
        <v>Empty Row</v>
      </c>
    </row>
    <row r="287" spans="1:10" x14ac:dyDescent="0.25">
      <c r="A287" t="str">
        <f>IF(D287="Empty Row", "Empty Row",
   _xlfn.LET(
       _xlpm.lookupResult, _xlfn.XLOOKUP(D287, RawDataTable[Account Name and Number], RawDataTable[Entity], "RAW DATA MISSING"),
       IF(ISBLANK(_xlpm.lookupResult), "RAW DATA MISSING", _xlpm.lookupResult)
   )
)</f>
        <v>Empty Row</v>
      </c>
      <c r="B287" t="str">
        <f>IF(D287="Empty Row", "Empty Row",
   _xlfn.LET(
       _xlpm.rawDataLookup, _xlfn.XLOOKUP(D287,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87" s="56" t="str" cm="1">
        <f t="array" ref="C287">IF(D287="Empty Row", "Empty Row",
   IF(COUNTIF('Name Mapping'!H:AD, D287) &gt; 0,
      INDEX('Name Mapping'!F:F, MATCH(TRUE, MMULT(--('Name Mapping'!H:AD=D287), TRANSPOSE(COLUMN('Name Mapping'!H:AD)^0)) &gt; 0, 0)),
      "")
)</f>
        <v>Empty Row</v>
      </c>
      <c r="D287" t="str">
        <f>IF(RawDataTable[[#This Row],[Account Name and Number]]&lt;&gt;"", RawDataTable[[#This Row],[Account Name and Number]], "Empty Row")</f>
        <v>Empty Row</v>
      </c>
      <c r="E287" s="28" t="str">
        <f>IF(D287="Empty Row", "Empty Row",
   _xlfn.LET(
       _xlpm.lookupResult, _xlfn.XLOOKUP(D287, RawDataTable[Account Name and Number], RawDataTable[Investment Date], "MISSING VALUE"),
       IF(ISNUMBER(_xlpm.lookupResult), _xlpm.lookupResult, "INVALID VALUE")
   )
)</f>
        <v>Empty Row</v>
      </c>
      <c r="F287" s="29" t="str">
        <f>IF(D287="Empty Row", "Empty Row",
   _xlfn.LET(
       _xlpm.lookupResult, _xlfn.XLOOKUP(D287, RawDataTable[Account Name and Number], RawDataTable[Investment Amount], "MISSING VALUE"),
       IF(ISNUMBER(_xlpm.lookupResult), _xlpm.lookupResult, "INVALID VALUE")
   )
)</f>
        <v>Empty Row</v>
      </c>
      <c r="G287" s="28" t="str">
        <f t="shared" ca="1" si="4"/>
        <v>Empty Row</v>
      </c>
      <c r="H287" s="29" t="str">
        <f>IF(D287="Empty Row", "Empty Row",
   _xlfn.LET(
       _xlpm.lookupResult, _xlfn.XLOOKUP(D287, RawDataTable[Account Name and Number], RawDataTable[Valuation Amount], "MISSING VALUE"),
       IF(ISNUMBER(_xlpm.lookupResult), _xlpm.lookupResult, "INVALID VALUE")
   )
)</f>
        <v>Empty Row</v>
      </c>
      <c r="I287" s="2" t="str">
        <f>IF(D287="Empty Row", "Empty Row", IF(_xlfn.XLOOKUP(B287, MasterTable[IRA Custodian], MasterTable[Address], "")="", "NO STREET NAME FOUND", _xlfn.XLOOKUP(B287, MasterTable[IRA Custodian], MasterTable[Address], "")))</f>
        <v>Empty Row</v>
      </c>
      <c r="J287" s="2" t="str">
        <f>IF(D287="Empty Row", "Empty Row",
   IF(OR(
       _xlfn.XLOOKUP(B287, MasterTable[IRA Custodian], MasterTable[City], "")="",
       _xlfn.XLOOKUP(B287, MasterTable[IRA Custodian], MasterTable[State], "")="",
       _xlfn.XLOOKUP(B287, MasterTable[IRA Custodian], MasterTable[Zip], "")=""),
       "INCOMPLETE ADDRESS",
       _xlfn.CONCAT(
           _xlfn.XLOOKUP(B287, MasterTable[IRA Custodian], MasterTable[City], ""), ", ",
           _xlfn.XLOOKUP(B287, MasterTable[IRA Custodian], MasterTable[State], ""), " ",
           _xlfn.XLOOKUP(B287, MasterTable[IRA Custodian], MasterTable[Zip], "")
       )
   )
)</f>
        <v>Empty Row</v>
      </c>
    </row>
    <row r="288" spans="1:10" x14ac:dyDescent="0.25">
      <c r="A288" t="str">
        <f>IF(D288="Empty Row", "Empty Row",
   _xlfn.LET(
       _xlpm.lookupResult, _xlfn.XLOOKUP(D288, RawDataTable[Account Name and Number], RawDataTable[Entity], "RAW DATA MISSING"),
       IF(ISBLANK(_xlpm.lookupResult), "RAW DATA MISSING", _xlpm.lookupResult)
   )
)</f>
        <v>Empty Row</v>
      </c>
      <c r="B288" t="str">
        <f>IF(D288="Empty Row", "Empty Row",
   _xlfn.LET(
       _xlpm.rawDataLookup, _xlfn.XLOOKUP(D288,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88" s="56" t="str" cm="1">
        <f t="array" ref="C288">IF(D288="Empty Row", "Empty Row",
   IF(COUNTIF('Name Mapping'!H:AD, D288) &gt; 0,
      INDEX('Name Mapping'!F:F, MATCH(TRUE, MMULT(--('Name Mapping'!H:AD=D288), TRANSPOSE(COLUMN('Name Mapping'!H:AD)^0)) &gt; 0, 0)),
      "")
)</f>
        <v>Empty Row</v>
      </c>
      <c r="D288" t="str">
        <f>IF(RawDataTable[[#This Row],[Account Name and Number]]&lt;&gt;"", RawDataTable[[#This Row],[Account Name and Number]], "Empty Row")</f>
        <v>Empty Row</v>
      </c>
      <c r="E288" s="28" t="str">
        <f>IF(D288="Empty Row", "Empty Row",
   _xlfn.LET(
       _xlpm.lookupResult, _xlfn.XLOOKUP(D288, RawDataTable[Account Name and Number], RawDataTable[Investment Date], "MISSING VALUE"),
       IF(ISNUMBER(_xlpm.lookupResult), _xlpm.lookupResult, "INVALID VALUE")
   )
)</f>
        <v>Empty Row</v>
      </c>
      <c r="F288" s="29" t="str">
        <f>IF(D288="Empty Row", "Empty Row",
   _xlfn.LET(
       _xlpm.lookupResult, _xlfn.XLOOKUP(D288, RawDataTable[Account Name and Number], RawDataTable[Investment Amount], "MISSING VALUE"),
       IF(ISNUMBER(_xlpm.lookupResult), _xlpm.lookupResult, "INVALID VALUE")
   )
)</f>
        <v>Empty Row</v>
      </c>
      <c r="G288" s="28" t="str">
        <f t="shared" ca="1" si="4"/>
        <v>Empty Row</v>
      </c>
      <c r="H288" s="29" t="str">
        <f>IF(D288="Empty Row", "Empty Row",
   _xlfn.LET(
       _xlpm.lookupResult, _xlfn.XLOOKUP(D288, RawDataTable[Account Name and Number], RawDataTable[Valuation Amount], "MISSING VALUE"),
       IF(ISNUMBER(_xlpm.lookupResult), _xlpm.lookupResult, "INVALID VALUE")
   )
)</f>
        <v>Empty Row</v>
      </c>
      <c r="I288" s="2" t="str">
        <f>IF(D288="Empty Row", "Empty Row", IF(_xlfn.XLOOKUP(B288, MasterTable[IRA Custodian], MasterTable[Address], "")="", "NO STREET NAME FOUND", _xlfn.XLOOKUP(B288, MasterTable[IRA Custodian], MasterTable[Address], "")))</f>
        <v>Empty Row</v>
      </c>
      <c r="J288" s="2" t="str">
        <f>IF(D288="Empty Row", "Empty Row",
   IF(OR(
       _xlfn.XLOOKUP(B288, MasterTable[IRA Custodian], MasterTable[City], "")="",
       _xlfn.XLOOKUP(B288, MasterTable[IRA Custodian], MasterTable[State], "")="",
       _xlfn.XLOOKUP(B288, MasterTable[IRA Custodian], MasterTable[Zip], "")=""),
       "INCOMPLETE ADDRESS",
       _xlfn.CONCAT(
           _xlfn.XLOOKUP(B288, MasterTable[IRA Custodian], MasterTable[City], ""), ", ",
           _xlfn.XLOOKUP(B288, MasterTable[IRA Custodian], MasterTable[State], ""), " ",
           _xlfn.XLOOKUP(B288, MasterTable[IRA Custodian], MasterTable[Zip], "")
       )
   )
)</f>
        <v>Empty Row</v>
      </c>
    </row>
    <row r="289" spans="1:10" x14ac:dyDescent="0.25">
      <c r="A289" t="str">
        <f>IF(D289="Empty Row", "Empty Row",
   _xlfn.LET(
       _xlpm.lookupResult, _xlfn.XLOOKUP(D289, RawDataTable[Account Name and Number], RawDataTable[Entity], "RAW DATA MISSING"),
       IF(ISBLANK(_xlpm.lookupResult), "RAW DATA MISSING", _xlpm.lookupResult)
   )
)</f>
        <v>Empty Row</v>
      </c>
      <c r="B289" t="str">
        <f>IF(D289="Empty Row", "Empty Row",
   _xlfn.LET(
       _xlpm.rawDataLookup, _xlfn.XLOOKUP(D289,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89" s="56" t="str" cm="1">
        <f t="array" ref="C289">IF(D289="Empty Row", "Empty Row",
   IF(COUNTIF('Name Mapping'!H:AD, D289) &gt; 0,
      INDEX('Name Mapping'!F:F, MATCH(TRUE, MMULT(--('Name Mapping'!H:AD=D289), TRANSPOSE(COLUMN('Name Mapping'!H:AD)^0)) &gt; 0, 0)),
      "")
)</f>
        <v>Empty Row</v>
      </c>
      <c r="D289" t="str">
        <f>IF(RawDataTable[[#This Row],[Account Name and Number]]&lt;&gt;"", RawDataTable[[#This Row],[Account Name and Number]], "Empty Row")</f>
        <v>Empty Row</v>
      </c>
      <c r="E289" s="28" t="str">
        <f>IF(D289="Empty Row", "Empty Row",
   _xlfn.LET(
       _xlpm.lookupResult, _xlfn.XLOOKUP(D289, RawDataTable[Account Name and Number], RawDataTable[Investment Date], "MISSING VALUE"),
       IF(ISNUMBER(_xlpm.lookupResult), _xlpm.lookupResult, "INVALID VALUE")
   )
)</f>
        <v>Empty Row</v>
      </c>
      <c r="F289" s="29" t="str">
        <f>IF(D289="Empty Row", "Empty Row",
   _xlfn.LET(
       _xlpm.lookupResult, _xlfn.XLOOKUP(D289, RawDataTable[Account Name and Number], RawDataTable[Investment Amount], "MISSING VALUE"),
       IF(ISNUMBER(_xlpm.lookupResult), _xlpm.lookupResult, "INVALID VALUE")
   )
)</f>
        <v>Empty Row</v>
      </c>
      <c r="G289" s="28" t="str">
        <f t="shared" ca="1" si="4"/>
        <v>Empty Row</v>
      </c>
      <c r="H289" s="29" t="str">
        <f>IF(D289="Empty Row", "Empty Row",
   _xlfn.LET(
       _xlpm.lookupResult, _xlfn.XLOOKUP(D289, RawDataTable[Account Name and Number], RawDataTable[Valuation Amount], "MISSING VALUE"),
       IF(ISNUMBER(_xlpm.lookupResult), _xlpm.lookupResult, "INVALID VALUE")
   )
)</f>
        <v>Empty Row</v>
      </c>
      <c r="I289" s="2" t="str">
        <f>IF(D289="Empty Row", "Empty Row", IF(_xlfn.XLOOKUP(B289, MasterTable[IRA Custodian], MasterTable[Address], "")="", "NO STREET NAME FOUND", _xlfn.XLOOKUP(B289, MasterTable[IRA Custodian], MasterTable[Address], "")))</f>
        <v>Empty Row</v>
      </c>
      <c r="J289" s="2" t="str">
        <f>IF(D289="Empty Row", "Empty Row",
   IF(OR(
       _xlfn.XLOOKUP(B289, MasterTable[IRA Custodian], MasterTable[City], "")="",
       _xlfn.XLOOKUP(B289, MasterTable[IRA Custodian], MasterTable[State], "")="",
       _xlfn.XLOOKUP(B289, MasterTable[IRA Custodian], MasterTable[Zip], "")=""),
       "INCOMPLETE ADDRESS",
       _xlfn.CONCAT(
           _xlfn.XLOOKUP(B289, MasterTable[IRA Custodian], MasterTable[City], ""), ", ",
           _xlfn.XLOOKUP(B289, MasterTable[IRA Custodian], MasterTable[State], ""), " ",
           _xlfn.XLOOKUP(B289, MasterTable[IRA Custodian], MasterTable[Zip], "")
       )
   )
)</f>
        <v>Empty Row</v>
      </c>
    </row>
    <row r="290" spans="1:10" x14ac:dyDescent="0.25">
      <c r="A290" t="str">
        <f>IF(D290="Empty Row", "Empty Row",
   _xlfn.LET(
       _xlpm.lookupResult, _xlfn.XLOOKUP(D290, RawDataTable[Account Name and Number], RawDataTable[Entity], "RAW DATA MISSING"),
       IF(ISBLANK(_xlpm.lookupResult), "RAW DATA MISSING", _xlpm.lookupResult)
   )
)</f>
        <v>Empty Row</v>
      </c>
      <c r="B290" t="str">
        <f>IF(D290="Empty Row", "Empty Row",
   _xlfn.LET(
       _xlpm.rawDataLookup, _xlfn.XLOOKUP(D290,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90" s="56" t="str" cm="1">
        <f t="array" ref="C290">IF(D290="Empty Row", "Empty Row",
   IF(COUNTIF('Name Mapping'!H:AD, D290) &gt; 0,
      INDEX('Name Mapping'!F:F, MATCH(TRUE, MMULT(--('Name Mapping'!H:AD=D290), TRANSPOSE(COLUMN('Name Mapping'!H:AD)^0)) &gt; 0, 0)),
      "")
)</f>
        <v>Empty Row</v>
      </c>
      <c r="D290" t="str">
        <f>IF(RawDataTable[[#This Row],[Account Name and Number]]&lt;&gt;"", RawDataTable[[#This Row],[Account Name and Number]], "Empty Row")</f>
        <v>Empty Row</v>
      </c>
      <c r="E290" s="28" t="str">
        <f>IF(D290="Empty Row", "Empty Row",
   _xlfn.LET(
       _xlpm.lookupResult, _xlfn.XLOOKUP(D290, RawDataTable[Account Name and Number], RawDataTable[Investment Date], "MISSING VALUE"),
       IF(ISNUMBER(_xlpm.lookupResult), _xlpm.lookupResult, "INVALID VALUE")
   )
)</f>
        <v>Empty Row</v>
      </c>
      <c r="F290" s="29" t="str">
        <f>IF(D290="Empty Row", "Empty Row",
   _xlfn.LET(
       _xlpm.lookupResult, _xlfn.XLOOKUP(D290, RawDataTable[Account Name and Number], RawDataTable[Investment Amount], "MISSING VALUE"),
       IF(ISNUMBER(_xlpm.lookupResult), _xlpm.lookupResult, "INVALID VALUE")
   )
)</f>
        <v>Empty Row</v>
      </c>
      <c r="G290" s="28" t="str">
        <f t="shared" ca="1" si="4"/>
        <v>Empty Row</v>
      </c>
      <c r="H290" s="29" t="str">
        <f>IF(D290="Empty Row", "Empty Row",
   _xlfn.LET(
       _xlpm.lookupResult, _xlfn.XLOOKUP(D290, RawDataTable[Account Name and Number], RawDataTable[Valuation Amount], "MISSING VALUE"),
       IF(ISNUMBER(_xlpm.lookupResult), _xlpm.lookupResult, "INVALID VALUE")
   )
)</f>
        <v>Empty Row</v>
      </c>
      <c r="I290" s="2" t="str">
        <f>IF(D290="Empty Row", "Empty Row", IF(_xlfn.XLOOKUP(B290, MasterTable[IRA Custodian], MasterTable[Address], "")="", "NO STREET NAME FOUND", _xlfn.XLOOKUP(B290, MasterTable[IRA Custodian], MasterTable[Address], "")))</f>
        <v>Empty Row</v>
      </c>
      <c r="J290" s="2" t="str">
        <f>IF(D290="Empty Row", "Empty Row",
   IF(OR(
       _xlfn.XLOOKUP(B290, MasterTable[IRA Custodian], MasterTable[City], "")="",
       _xlfn.XLOOKUP(B290, MasterTable[IRA Custodian], MasterTable[State], "")="",
       _xlfn.XLOOKUP(B290, MasterTable[IRA Custodian], MasterTable[Zip], "")=""),
       "INCOMPLETE ADDRESS",
       _xlfn.CONCAT(
           _xlfn.XLOOKUP(B290, MasterTable[IRA Custodian], MasterTable[City], ""), ", ",
           _xlfn.XLOOKUP(B290, MasterTable[IRA Custodian], MasterTable[State], ""), " ",
           _xlfn.XLOOKUP(B290, MasterTable[IRA Custodian], MasterTable[Zip], "")
       )
   )
)</f>
        <v>Empty Row</v>
      </c>
    </row>
    <row r="291" spans="1:10" x14ac:dyDescent="0.25">
      <c r="A291" t="str">
        <f>IF(D291="Empty Row", "Empty Row",
   _xlfn.LET(
       _xlpm.lookupResult, _xlfn.XLOOKUP(D291, RawDataTable[Account Name and Number], RawDataTable[Entity], "RAW DATA MISSING"),
       IF(ISBLANK(_xlpm.lookupResult), "RAW DATA MISSING", _xlpm.lookupResult)
   )
)</f>
        <v>Empty Row</v>
      </c>
      <c r="B291" t="str">
        <f>IF(D291="Empty Row", "Empty Row",
   _xlfn.LET(
       _xlpm.rawDataLookup, _xlfn.XLOOKUP(D291,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91" s="56" t="str" cm="1">
        <f t="array" ref="C291">IF(D291="Empty Row", "Empty Row",
   IF(COUNTIF('Name Mapping'!H:AD, D291) &gt; 0,
      INDEX('Name Mapping'!F:F, MATCH(TRUE, MMULT(--('Name Mapping'!H:AD=D291), TRANSPOSE(COLUMN('Name Mapping'!H:AD)^0)) &gt; 0, 0)),
      "")
)</f>
        <v>Empty Row</v>
      </c>
      <c r="D291" t="str">
        <f>IF(RawDataTable[[#This Row],[Account Name and Number]]&lt;&gt;"", RawDataTable[[#This Row],[Account Name and Number]], "Empty Row")</f>
        <v>Empty Row</v>
      </c>
      <c r="E291" s="28" t="str">
        <f>IF(D291="Empty Row", "Empty Row",
   _xlfn.LET(
       _xlpm.lookupResult, _xlfn.XLOOKUP(D291, RawDataTable[Account Name and Number], RawDataTable[Investment Date], "MISSING VALUE"),
       IF(ISNUMBER(_xlpm.lookupResult), _xlpm.lookupResult, "INVALID VALUE")
   )
)</f>
        <v>Empty Row</v>
      </c>
      <c r="F291" s="29" t="str">
        <f>IF(D291="Empty Row", "Empty Row",
   _xlfn.LET(
       _xlpm.lookupResult, _xlfn.XLOOKUP(D291, RawDataTable[Account Name and Number], RawDataTable[Investment Amount], "MISSING VALUE"),
       IF(ISNUMBER(_xlpm.lookupResult), _xlpm.lookupResult, "INVALID VALUE")
   )
)</f>
        <v>Empty Row</v>
      </c>
      <c r="G291" s="28" t="str">
        <f t="shared" ca="1" si="4"/>
        <v>Empty Row</v>
      </c>
      <c r="H291" s="29" t="str">
        <f>IF(D291="Empty Row", "Empty Row",
   _xlfn.LET(
       _xlpm.lookupResult, _xlfn.XLOOKUP(D291, RawDataTable[Account Name and Number], RawDataTable[Valuation Amount], "MISSING VALUE"),
       IF(ISNUMBER(_xlpm.lookupResult), _xlpm.lookupResult, "INVALID VALUE")
   )
)</f>
        <v>Empty Row</v>
      </c>
      <c r="I291" s="2" t="str">
        <f>IF(D291="Empty Row", "Empty Row", IF(_xlfn.XLOOKUP(B291, MasterTable[IRA Custodian], MasterTable[Address], "")="", "NO STREET NAME FOUND", _xlfn.XLOOKUP(B291, MasterTable[IRA Custodian], MasterTable[Address], "")))</f>
        <v>Empty Row</v>
      </c>
      <c r="J291" s="2" t="str">
        <f>IF(D291="Empty Row", "Empty Row",
   IF(OR(
       _xlfn.XLOOKUP(B291, MasterTable[IRA Custodian], MasterTable[City], "")="",
       _xlfn.XLOOKUP(B291, MasterTable[IRA Custodian], MasterTable[State], "")="",
       _xlfn.XLOOKUP(B291, MasterTable[IRA Custodian], MasterTable[Zip], "")=""),
       "INCOMPLETE ADDRESS",
       _xlfn.CONCAT(
           _xlfn.XLOOKUP(B291, MasterTable[IRA Custodian], MasterTable[City], ""), ", ",
           _xlfn.XLOOKUP(B291, MasterTable[IRA Custodian], MasterTable[State], ""), " ",
           _xlfn.XLOOKUP(B291, MasterTable[IRA Custodian], MasterTable[Zip], "")
       )
   )
)</f>
        <v>Empty Row</v>
      </c>
    </row>
    <row r="292" spans="1:10" x14ac:dyDescent="0.25">
      <c r="A292" t="str">
        <f>IF(D292="Empty Row", "Empty Row",
   _xlfn.LET(
       _xlpm.lookupResult, _xlfn.XLOOKUP(D292, RawDataTable[Account Name and Number], RawDataTable[Entity], "RAW DATA MISSING"),
       IF(ISBLANK(_xlpm.lookupResult), "RAW DATA MISSING", _xlpm.lookupResult)
   )
)</f>
        <v>Empty Row</v>
      </c>
      <c r="B292" t="str">
        <f>IF(D292="Empty Row", "Empty Row",
   _xlfn.LET(
       _xlpm.rawDataLookup, _xlfn.XLOOKUP(D292,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92" s="56" t="str" cm="1">
        <f t="array" ref="C292">IF(D292="Empty Row", "Empty Row",
   IF(COUNTIF('Name Mapping'!H:AD, D292) &gt; 0,
      INDEX('Name Mapping'!F:F, MATCH(TRUE, MMULT(--('Name Mapping'!H:AD=D292), TRANSPOSE(COLUMN('Name Mapping'!H:AD)^0)) &gt; 0, 0)),
      "")
)</f>
        <v>Empty Row</v>
      </c>
      <c r="D292" t="str">
        <f>IF(RawDataTable[[#This Row],[Account Name and Number]]&lt;&gt;"", RawDataTable[[#This Row],[Account Name and Number]], "Empty Row")</f>
        <v>Empty Row</v>
      </c>
      <c r="E292" s="28" t="str">
        <f>IF(D292="Empty Row", "Empty Row",
   _xlfn.LET(
       _xlpm.lookupResult, _xlfn.XLOOKUP(D292, RawDataTable[Account Name and Number], RawDataTable[Investment Date], "MISSING VALUE"),
       IF(ISNUMBER(_xlpm.lookupResult), _xlpm.lookupResult, "INVALID VALUE")
   )
)</f>
        <v>Empty Row</v>
      </c>
      <c r="F292" s="29" t="str">
        <f>IF(D292="Empty Row", "Empty Row",
   _xlfn.LET(
       _xlpm.lookupResult, _xlfn.XLOOKUP(D292, RawDataTable[Account Name and Number], RawDataTable[Investment Amount], "MISSING VALUE"),
       IF(ISNUMBER(_xlpm.lookupResult), _xlpm.lookupResult, "INVALID VALUE")
   )
)</f>
        <v>Empty Row</v>
      </c>
      <c r="G292" s="28" t="str">
        <f t="shared" ca="1" si="4"/>
        <v>Empty Row</v>
      </c>
      <c r="H292" s="29" t="str">
        <f>IF(D292="Empty Row", "Empty Row",
   _xlfn.LET(
       _xlpm.lookupResult, _xlfn.XLOOKUP(D292, RawDataTable[Account Name and Number], RawDataTable[Valuation Amount], "MISSING VALUE"),
       IF(ISNUMBER(_xlpm.lookupResult), _xlpm.lookupResult, "INVALID VALUE")
   )
)</f>
        <v>Empty Row</v>
      </c>
      <c r="I292" s="2" t="str">
        <f>IF(D292="Empty Row", "Empty Row", IF(_xlfn.XLOOKUP(B292, MasterTable[IRA Custodian], MasterTable[Address], "")="", "NO STREET NAME FOUND", _xlfn.XLOOKUP(B292, MasterTable[IRA Custodian], MasterTable[Address], "")))</f>
        <v>Empty Row</v>
      </c>
      <c r="J292" s="2" t="str">
        <f>IF(D292="Empty Row", "Empty Row",
   IF(OR(
       _xlfn.XLOOKUP(B292, MasterTable[IRA Custodian], MasterTable[City], "")="",
       _xlfn.XLOOKUP(B292, MasterTable[IRA Custodian], MasterTable[State], "")="",
       _xlfn.XLOOKUP(B292, MasterTable[IRA Custodian], MasterTable[Zip], "")=""),
       "INCOMPLETE ADDRESS",
       _xlfn.CONCAT(
           _xlfn.XLOOKUP(B292, MasterTable[IRA Custodian], MasterTable[City], ""), ", ",
           _xlfn.XLOOKUP(B292, MasterTable[IRA Custodian], MasterTable[State], ""), " ",
           _xlfn.XLOOKUP(B292, MasterTable[IRA Custodian], MasterTable[Zip], "")
       )
   )
)</f>
        <v>Empty Row</v>
      </c>
    </row>
    <row r="293" spans="1:10" x14ac:dyDescent="0.25">
      <c r="A293" t="str">
        <f>IF(D293="Empty Row", "Empty Row",
   _xlfn.LET(
       _xlpm.lookupResult, _xlfn.XLOOKUP(D293, RawDataTable[Account Name and Number], RawDataTable[Entity], "RAW DATA MISSING"),
       IF(ISBLANK(_xlpm.lookupResult), "RAW DATA MISSING", _xlpm.lookupResult)
   )
)</f>
        <v>Empty Row</v>
      </c>
      <c r="B293" t="str">
        <f>IF(D293="Empty Row", "Empty Row",
   _xlfn.LET(
       _xlpm.rawDataLookup, _xlfn.XLOOKUP(D293,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93" s="56" t="str" cm="1">
        <f t="array" ref="C293">IF(D293="Empty Row", "Empty Row",
   IF(COUNTIF('Name Mapping'!H:AD, D293) &gt; 0,
      INDEX('Name Mapping'!F:F, MATCH(TRUE, MMULT(--('Name Mapping'!H:AD=D293), TRANSPOSE(COLUMN('Name Mapping'!H:AD)^0)) &gt; 0, 0)),
      "")
)</f>
        <v>Empty Row</v>
      </c>
      <c r="D293" t="str">
        <f>IF(RawDataTable[[#This Row],[Account Name and Number]]&lt;&gt;"", RawDataTable[[#This Row],[Account Name and Number]], "Empty Row")</f>
        <v>Empty Row</v>
      </c>
      <c r="E293" s="28" t="str">
        <f>IF(D293="Empty Row", "Empty Row",
   _xlfn.LET(
       _xlpm.lookupResult, _xlfn.XLOOKUP(D293, RawDataTable[Account Name and Number], RawDataTable[Investment Date], "MISSING VALUE"),
       IF(ISNUMBER(_xlpm.lookupResult), _xlpm.lookupResult, "INVALID VALUE")
   )
)</f>
        <v>Empty Row</v>
      </c>
      <c r="F293" s="29" t="str">
        <f>IF(D293="Empty Row", "Empty Row",
   _xlfn.LET(
       _xlpm.lookupResult, _xlfn.XLOOKUP(D293, RawDataTable[Account Name and Number], RawDataTable[Investment Amount], "MISSING VALUE"),
       IF(ISNUMBER(_xlpm.lookupResult), _xlpm.lookupResult, "INVALID VALUE")
   )
)</f>
        <v>Empty Row</v>
      </c>
      <c r="G293" s="28" t="str">
        <f t="shared" ca="1" si="4"/>
        <v>Empty Row</v>
      </c>
      <c r="H293" s="29" t="str">
        <f>IF(D293="Empty Row", "Empty Row",
   _xlfn.LET(
       _xlpm.lookupResult, _xlfn.XLOOKUP(D293, RawDataTable[Account Name and Number], RawDataTable[Valuation Amount], "MISSING VALUE"),
       IF(ISNUMBER(_xlpm.lookupResult), _xlpm.lookupResult, "INVALID VALUE")
   )
)</f>
        <v>Empty Row</v>
      </c>
      <c r="I293" s="2" t="str">
        <f>IF(D293="Empty Row", "Empty Row", IF(_xlfn.XLOOKUP(B293, MasterTable[IRA Custodian], MasterTable[Address], "")="", "NO STREET NAME FOUND", _xlfn.XLOOKUP(B293, MasterTable[IRA Custodian], MasterTable[Address], "")))</f>
        <v>Empty Row</v>
      </c>
      <c r="J293" s="2" t="str">
        <f>IF(D293="Empty Row", "Empty Row",
   IF(OR(
       _xlfn.XLOOKUP(B293, MasterTable[IRA Custodian], MasterTable[City], "")="",
       _xlfn.XLOOKUP(B293, MasterTable[IRA Custodian], MasterTable[State], "")="",
       _xlfn.XLOOKUP(B293, MasterTable[IRA Custodian], MasterTable[Zip], "")=""),
       "INCOMPLETE ADDRESS",
       _xlfn.CONCAT(
           _xlfn.XLOOKUP(B293, MasterTable[IRA Custodian], MasterTable[City], ""), ", ",
           _xlfn.XLOOKUP(B293, MasterTable[IRA Custodian], MasterTable[State], ""), " ",
           _xlfn.XLOOKUP(B293, MasterTable[IRA Custodian], MasterTable[Zip], "")
       )
   )
)</f>
        <v>Empty Row</v>
      </c>
    </row>
    <row r="294" spans="1:10" x14ac:dyDescent="0.25">
      <c r="A294" t="str">
        <f>IF(D294="Empty Row", "Empty Row",
   _xlfn.LET(
       _xlpm.lookupResult, _xlfn.XLOOKUP(D294, RawDataTable[Account Name and Number], RawDataTable[Entity], "RAW DATA MISSING"),
       IF(ISBLANK(_xlpm.lookupResult), "RAW DATA MISSING", _xlpm.lookupResult)
   )
)</f>
        <v>Empty Row</v>
      </c>
      <c r="B294" t="str">
        <f>IF(D294="Empty Row", "Empty Row",
   _xlfn.LET(
       _xlpm.rawDataLookup, _xlfn.XLOOKUP(D294,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94" s="56" t="str" cm="1">
        <f t="array" ref="C294">IF(D294="Empty Row", "Empty Row",
   IF(COUNTIF('Name Mapping'!H:AD, D294) &gt; 0,
      INDEX('Name Mapping'!F:F, MATCH(TRUE, MMULT(--('Name Mapping'!H:AD=D294), TRANSPOSE(COLUMN('Name Mapping'!H:AD)^0)) &gt; 0, 0)),
      "")
)</f>
        <v>Empty Row</v>
      </c>
      <c r="D294" t="str">
        <f>IF(RawDataTable[[#This Row],[Account Name and Number]]&lt;&gt;"", RawDataTable[[#This Row],[Account Name and Number]], "Empty Row")</f>
        <v>Empty Row</v>
      </c>
      <c r="E294" s="28" t="str">
        <f>IF(D294="Empty Row", "Empty Row",
   _xlfn.LET(
       _xlpm.lookupResult, _xlfn.XLOOKUP(D294, RawDataTable[Account Name and Number], RawDataTable[Investment Date], "MISSING VALUE"),
       IF(ISNUMBER(_xlpm.lookupResult), _xlpm.lookupResult, "INVALID VALUE")
   )
)</f>
        <v>Empty Row</v>
      </c>
      <c r="F294" s="29" t="str">
        <f>IF(D294="Empty Row", "Empty Row",
   _xlfn.LET(
       _xlpm.lookupResult, _xlfn.XLOOKUP(D294, RawDataTable[Account Name and Number], RawDataTable[Investment Amount], "MISSING VALUE"),
       IF(ISNUMBER(_xlpm.lookupResult), _xlpm.lookupResult, "INVALID VALUE")
   )
)</f>
        <v>Empty Row</v>
      </c>
      <c r="G294" s="28" t="str">
        <f t="shared" ca="1" si="4"/>
        <v>Empty Row</v>
      </c>
      <c r="H294" s="29" t="str">
        <f>IF(D294="Empty Row", "Empty Row",
   _xlfn.LET(
       _xlpm.lookupResult, _xlfn.XLOOKUP(D294, RawDataTable[Account Name and Number], RawDataTable[Valuation Amount], "MISSING VALUE"),
       IF(ISNUMBER(_xlpm.lookupResult), _xlpm.lookupResult, "INVALID VALUE")
   )
)</f>
        <v>Empty Row</v>
      </c>
      <c r="I294" s="2" t="str">
        <f>IF(D294="Empty Row", "Empty Row", IF(_xlfn.XLOOKUP(B294, MasterTable[IRA Custodian], MasterTable[Address], "")="", "NO STREET NAME FOUND", _xlfn.XLOOKUP(B294, MasterTable[IRA Custodian], MasterTable[Address], "")))</f>
        <v>Empty Row</v>
      </c>
      <c r="J294" s="2" t="str">
        <f>IF(D294="Empty Row", "Empty Row",
   IF(OR(
       _xlfn.XLOOKUP(B294, MasterTable[IRA Custodian], MasterTable[City], "")="",
       _xlfn.XLOOKUP(B294, MasterTable[IRA Custodian], MasterTable[State], "")="",
       _xlfn.XLOOKUP(B294, MasterTable[IRA Custodian], MasterTable[Zip], "")=""),
       "INCOMPLETE ADDRESS",
       _xlfn.CONCAT(
           _xlfn.XLOOKUP(B294, MasterTable[IRA Custodian], MasterTable[City], ""), ", ",
           _xlfn.XLOOKUP(B294, MasterTable[IRA Custodian], MasterTable[State], ""), " ",
           _xlfn.XLOOKUP(B294, MasterTable[IRA Custodian], MasterTable[Zip], "")
       )
   )
)</f>
        <v>Empty Row</v>
      </c>
    </row>
    <row r="295" spans="1:10" x14ac:dyDescent="0.25">
      <c r="A295" t="str">
        <f>IF(D295="Empty Row", "Empty Row",
   _xlfn.LET(
       _xlpm.lookupResult, _xlfn.XLOOKUP(D295, RawDataTable[Account Name and Number], RawDataTable[Entity], "RAW DATA MISSING"),
       IF(ISBLANK(_xlpm.lookupResult), "RAW DATA MISSING", _xlpm.lookupResult)
   )
)</f>
        <v>Empty Row</v>
      </c>
      <c r="B295" t="str">
        <f>IF(D295="Empty Row", "Empty Row",
   _xlfn.LET(
       _xlpm.rawDataLookup, _xlfn.XLOOKUP(D295,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95" s="56" t="str" cm="1">
        <f t="array" ref="C295">IF(D295="Empty Row", "Empty Row",
   IF(COUNTIF('Name Mapping'!H:AD, D295) &gt; 0,
      INDEX('Name Mapping'!F:F, MATCH(TRUE, MMULT(--('Name Mapping'!H:AD=D295), TRANSPOSE(COLUMN('Name Mapping'!H:AD)^0)) &gt; 0, 0)),
      "")
)</f>
        <v>Empty Row</v>
      </c>
      <c r="D295" t="str">
        <f>IF(RawDataTable[[#This Row],[Account Name and Number]]&lt;&gt;"", RawDataTable[[#This Row],[Account Name and Number]], "Empty Row")</f>
        <v>Empty Row</v>
      </c>
      <c r="E295" s="28" t="str">
        <f>IF(D295="Empty Row", "Empty Row",
   _xlfn.LET(
       _xlpm.lookupResult, _xlfn.XLOOKUP(D295, RawDataTable[Account Name and Number], RawDataTable[Investment Date], "MISSING VALUE"),
       IF(ISNUMBER(_xlpm.lookupResult), _xlpm.lookupResult, "INVALID VALUE")
   )
)</f>
        <v>Empty Row</v>
      </c>
      <c r="F295" s="29" t="str">
        <f>IF(D295="Empty Row", "Empty Row",
   _xlfn.LET(
       _xlpm.lookupResult, _xlfn.XLOOKUP(D295, RawDataTable[Account Name and Number], RawDataTable[Investment Amount], "MISSING VALUE"),
       IF(ISNUMBER(_xlpm.lookupResult), _xlpm.lookupResult, "INVALID VALUE")
   )
)</f>
        <v>Empty Row</v>
      </c>
      <c r="G295" s="28" t="str">
        <f t="shared" ca="1" si="4"/>
        <v>Empty Row</v>
      </c>
      <c r="H295" s="29" t="str">
        <f>IF(D295="Empty Row", "Empty Row",
   _xlfn.LET(
       _xlpm.lookupResult, _xlfn.XLOOKUP(D295, RawDataTable[Account Name and Number], RawDataTable[Valuation Amount], "MISSING VALUE"),
       IF(ISNUMBER(_xlpm.lookupResult), _xlpm.lookupResult, "INVALID VALUE")
   )
)</f>
        <v>Empty Row</v>
      </c>
      <c r="I295" s="2" t="str">
        <f>IF(D295="Empty Row", "Empty Row", IF(_xlfn.XLOOKUP(B295, MasterTable[IRA Custodian], MasterTable[Address], "")="", "NO STREET NAME FOUND", _xlfn.XLOOKUP(B295, MasterTable[IRA Custodian], MasterTable[Address], "")))</f>
        <v>Empty Row</v>
      </c>
      <c r="J295" s="2" t="str">
        <f>IF(D295="Empty Row", "Empty Row",
   IF(OR(
       _xlfn.XLOOKUP(B295, MasterTable[IRA Custodian], MasterTable[City], "")="",
       _xlfn.XLOOKUP(B295, MasterTable[IRA Custodian], MasterTable[State], "")="",
       _xlfn.XLOOKUP(B295, MasterTable[IRA Custodian], MasterTable[Zip], "")=""),
       "INCOMPLETE ADDRESS",
       _xlfn.CONCAT(
           _xlfn.XLOOKUP(B295, MasterTable[IRA Custodian], MasterTable[City], ""), ", ",
           _xlfn.XLOOKUP(B295, MasterTable[IRA Custodian], MasterTable[State], ""), " ",
           _xlfn.XLOOKUP(B295, MasterTable[IRA Custodian], MasterTable[Zip], "")
       )
   )
)</f>
        <v>Empty Row</v>
      </c>
    </row>
    <row r="296" spans="1:10" x14ac:dyDescent="0.25">
      <c r="A296" t="str">
        <f>IF(D296="Empty Row", "Empty Row",
   _xlfn.LET(
       _xlpm.lookupResult, _xlfn.XLOOKUP(D296, RawDataTable[Account Name and Number], RawDataTable[Entity], "RAW DATA MISSING"),
       IF(ISBLANK(_xlpm.lookupResult), "RAW DATA MISSING", _xlpm.lookupResult)
   )
)</f>
        <v>Empty Row</v>
      </c>
      <c r="B296" t="str">
        <f>IF(D296="Empty Row", "Empty Row",
   _xlfn.LET(
       _xlpm.rawDataLookup, _xlfn.XLOOKUP(D296,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96" s="56" t="str" cm="1">
        <f t="array" ref="C296">IF(D296="Empty Row", "Empty Row",
   IF(COUNTIF('Name Mapping'!H:AD, D296) &gt; 0,
      INDEX('Name Mapping'!F:F, MATCH(TRUE, MMULT(--('Name Mapping'!H:AD=D296), TRANSPOSE(COLUMN('Name Mapping'!H:AD)^0)) &gt; 0, 0)),
      "")
)</f>
        <v>Empty Row</v>
      </c>
      <c r="D296" t="str">
        <f>IF(RawDataTable[[#This Row],[Account Name and Number]]&lt;&gt;"", RawDataTable[[#This Row],[Account Name and Number]], "Empty Row")</f>
        <v>Empty Row</v>
      </c>
      <c r="E296" s="28" t="str">
        <f>IF(D296="Empty Row", "Empty Row",
   _xlfn.LET(
       _xlpm.lookupResult, _xlfn.XLOOKUP(D296, RawDataTable[Account Name and Number], RawDataTable[Investment Date], "MISSING VALUE"),
       IF(ISNUMBER(_xlpm.lookupResult), _xlpm.lookupResult, "INVALID VALUE")
   )
)</f>
        <v>Empty Row</v>
      </c>
      <c r="F296" s="29" t="str">
        <f>IF(D296="Empty Row", "Empty Row",
   _xlfn.LET(
       _xlpm.lookupResult, _xlfn.XLOOKUP(D296, RawDataTable[Account Name and Number], RawDataTable[Investment Amount], "MISSING VALUE"),
       IF(ISNUMBER(_xlpm.lookupResult), _xlpm.lookupResult, "INVALID VALUE")
   )
)</f>
        <v>Empty Row</v>
      </c>
      <c r="G296" s="28" t="str">
        <f t="shared" ca="1" si="4"/>
        <v>Empty Row</v>
      </c>
      <c r="H296" s="29" t="str">
        <f>IF(D296="Empty Row", "Empty Row",
   _xlfn.LET(
       _xlpm.lookupResult, _xlfn.XLOOKUP(D296, RawDataTable[Account Name and Number], RawDataTable[Valuation Amount], "MISSING VALUE"),
       IF(ISNUMBER(_xlpm.lookupResult), _xlpm.lookupResult, "INVALID VALUE")
   )
)</f>
        <v>Empty Row</v>
      </c>
      <c r="I296" s="2" t="str">
        <f>IF(D296="Empty Row", "Empty Row", IF(_xlfn.XLOOKUP(B296, MasterTable[IRA Custodian], MasterTable[Address], "")="", "NO STREET NAME FOUND", _xlfn.XLOOKUP(B296, MasterTable[IRA Custodian], MasterTable[Address], "")))</f>
        <v>Empty Row</v>
      </c>
      <c r="J296" s="2" t="str">
        <f>IF(D296="Empty Row", "Empty Row",
   IF(OR(
       _xlfn.XLOOKUP(B296, MasterTable[IRA Custodian], MasterTable[City], "")="",
       _xlfn.XLOOKUP(B296, MasterTable[IRA Custodian], MasterTable[State], "")="",
       _xlfn.XLOOKUP(B296, MasterTable[IRA Custodian], MasterTable[Zip], "")=""),
       "INCOMPLETE ADDRESS",
       _xlfn.CONCAT(
           _xlfn.XLOOKUP(B296, MasterTable[IRA Custodian], MasterTable[City], ""), ", ",
           _xlfn.XLOOKUP(B296, MasterTable[IRA Custodian], MasterTable[State], ""), " ",
           _xlfn.XLOOKUP(B296, MasterTable[IRA Custodian], MasterTable[Zip], "")
       )
   )
)</f>
        <v>Empty Row</v>
      </c>
    </row>
    <row r="297" spans="1:10" x14ac:dyDescent="0.25">
      <c r="A297" t="str">
        <f>IF(D297="Empty Row", "Empty Row",
   _xlfn.LET(
       _xlpm.lookupResult, _xlfn.XLOOKUP(D297, RawDataTable[Account Name and Number], RawDataTable[Entity], "RAW DATA MISSING"),
       IF(ISBLANK(_xlpm.lookupResult), "RAW DATA MISSING", _xlpm.lookupResult)
   )
)</f>
        <v>Empty Row</v>
      </c>
      <c r="B297" t="str">
        <f>IF(D297="Empty Row", "Empty Row",
   _xlfn.LET(
       _xlpm.rawDataLookup, _xlfn.XLOOKUP(D297,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97" s="56" t="str" cm="1">
        <f t="array" ref="C297">IF(D297="Empty Row", "Empty Row",
   IF(COUNTIF('Name Mapping'!H:AD, D297) &gt; 0,
      INDEX('Name Mapping'!F:F, MATCH(TRUE, MMULT(--('Name Mapping'!H:AD=D297), TRANSPOSE(COLUMN('Name Mapping'!H:AD)^0)) &gt; 0, 0)),
      "")
)</f>
        <v>Empty Row</v>
      </c>
      <c r="D297" t="str">
        <f>IF(RawDataTable[[#This Row],[Account Name and Number]]&lt;&gt;"", RawDataTable[[#This Row],[Account Name and Number]], "Empty Row")</f>
        <v>Empty Row</v>
      </c>
      <c r="E297" s="28" t="str">
        <f>IF(D297="Empty Row", "Empty Row",
   _xlfn.LET(
       _xlpm.lookupResult, _xlfn.XLOOKUP(D297, RawDataTable[Account Name and Number], RawDataTable[Investment Date], "MISSING VALUE"),
       IF(ISNUMBER(_xlpm.lookupResult), _xlpm.lookupResult, "INVALID VALUE")
   )
)</f>
        <v>Empty Row</v>
      </c>
      <c r="F297" s="29" t="str">
        <f>IF(D297="Empty Row", "Empty Row",
   _xlfn.LET(
       _xlpm.lookupResult, _xlfn.XLOOKUP(D297, RawDataTable[Account Name and Number], RawDataTable[Investment Amount], "MISSING VALUE"),
       IF(ISNUMBER(_xlpm.lookupResult), _xlpm.lookupResult, "INVALID VALUE")
   )
)</f>
        <v>Empty Row</v>
      </c>
      <c r="G297" s="28" t="str">
        <f t="shared" ca="1" si="4"/>
        <v>Empty Row</v>
      </c>
      <c r="H297" s="29" t="str">
        <f>IF(D297="Empty Row", "Empty Row",
   _xlfn.LET(
       _xlpm.lookupResult, _xlfn.XLOOKUP(D297, RawDataTable[Account Name and Number], RawDataTable[Valuation Amount], "MISSING VALUE"),
       IF(ISNUMBER(_xlpm.lookupResult), _xlpm.lookupResult, "INVALID VALUE")
   )
)</f>
        <v>Empty Row</v>
      </c>
      <c r="I297" s="2" t="str">
        <f>IF(D297="Empty Row", "Empty Row", IF(_xlfn.XLOOKUP(B297, MasterTable[IRA Custodian], MasterTable[Address], "")="", "NO STREET NAME FOUND", _xlfn.XLOOKUP(B297, MasterTable[IRA Custodian], MasterTable[Address], "")))</f>
        <v>Empty Row</v>
      </c>
      <c r="J297" s="2" t="str">
        <f>IF(D297="Empty Row", "Empty Row",
   IF(OR(
       _xlfn.XLOOKUP(B297, MasterTable[IRA Custodian], MasterTable[City], "")="",
       _xlfn.XLOOKUP(B297, MasterTable[IRA Custodian], MasterTable[State], "")="",
       _xlfn.XLOOKUP(B297, MasterTable[IRA Custodian], MasterTable[Zip], "")=""),
       "INCOMPLETE ADDRESS",
       _xlfn.CONCAT(
           _xlfn.XLOOKUP(B297, MasterTable[IRA Custodian], MasterTable[City], ""), ", ",
           _xlfn.XLOOKUP(B297, MasterTable[IRA Custodian], MasterTable[State], ""), " ",
           _xlfn.XLOOKUP(B297, MasterTable[IRA Custodian], MasterTable[Zip], "")
       )
   )
)</f>
        <v>Empty Row</v>
      </c>
    </row>
    <row r="298" spans="1:10" x14ac:dyDescent="0.25">
      <c r="A298" t="str">
        <f>IF(D298="Empty Row", "Empty Row",
   _xlfn.LET(
       _xlpm.lookupResult, _xlfn.XLOOKUP(D298, RawDataTable[Account Name and Number], RawDataTable[Entity], "RAW DATA MISSING"),
       IF(ISBLANK(_xlpm.lookupResult), "RAW DATA MISSING", _xlpm.lookupResult)
   )
)</f>
        <v>Empty Row</v>
      </c>
      <c r="B298" t="str">
        <f>IF(D298="Empty Row", "Empty Row",
   _xlfn.LET(
       _xlpm.rawDataLookup, _xlfn.XLOOKUP(D298,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98" s="56" t="str" cm="1">
        <f t="array" ref="C298">IF(D298="Empty Row", "Empty Row",
   IF(COUNTIF('Name Mapping'!H:AD, D298) &gt; 0,
      INDEX('Name Mapping'!F:F, MATCH(TRUE, MMULT(--('Name Mapping'!H:AD=D298), TRANSPOSE(COLUMN('Name Mapping'!H:AD)^0)) &gt; 0, 0)),
      "")
)</f>
        <v>Empty Row</v>
      </c>
      <c r="D298" t="str">
        <f>IF(RawDataTable[[#This Row],[Account Name and Number]]&lt;&gt;"", RawDataTable[[#This Row],[Account Name and Number]], "Empty Row")</f>
        <v>Empty Row</v>
      </c>
      <c r="E298" s="28" t="str">
        <f>IF(D298="Empty Row", "Empty Row",
   _xlfn.LET(
       _xlpm.lookupResult, _xlfn.XLOOKUP(D298, RawDataTable[Account Name and Number], RawDataTable[Investment Date], "MISSING VALUE"),
       IF(ISNUMBER(_xlpm.lookupResult), _xlpm.lookupResult, "INVALID VALUE")
   )
)</f>
        <v>Empty Row</v>
      </c>
      <c r="F298" s="29" t="str">
        <f>IF(D298="Empty Row", "Empty Row",
   _xlfn.LET(
       _xlpm.lookupResult, _xlfn.XLOOKUP(D298, RawDataTable[Account Name and Number], RawDataTable[Investment Amount], "MISSING VALUE"),
       IF(ISNUMBER(_xlpm.lookupResult), _xlpm.lookupResult, "INVALID VALUE")
   )
)</f>
        <v>Empty Row</v>
      </c>
      <c r="G298" s="28" t="str">
        <f t="shared" ca="1" si="4"/>
        <v>Empty Row</v>
      </c>
      <c r="H298" s="29" t="str">
        <f>IF(D298="Empty Row", "Empty Row",
   _xlfn.LET(
       _xlpm.lookupResult, _xlfn.XLOOKUP(D298, RawDataTable[Account Name and Number], RawDataTable[Valuation Amount], "MISSING VALUE"),
       IF(ISNUMBER(_xlpm.lookupResult), _xlpm.lookupResult, "INVALID VALUE")
   )
)</f>
        <v>Empty Row</v>
      </c>
      <c r="I298" s="2" t="str">
        <f>IF(D298="Empty Row", "Empty Row", IF(_xlfn.XLOOKUP(B298, MasterTable[IRA Custodian], MasterTable[Address], "")="", "NO STREET NAME FOUND", _xlfn.XLOOKUP(B298, MasterTable[IRA Custodian], MasterTable[Address], "")))</f>
        <v>Empty Row</v>
      </c>
      <c r="J298" s="2" t="str">
        <f>IF(D298="Empty Row", "Empty Row",
   IF(OR(
       _xlfn.XLOOKUP(B298, MasterTable[IRA Custodian], MasterTable[City], "")="",
       _xlfn.XLOOKUP(B298, MasterTable[IRA Custodian], MasterTable[State], "")="",
       _xlfn.XLOOKUP(B298, MasterTable[IRA Custodian], MasterTable[Zip], "")=""),
       "INCOMPLETE ADDRESS",
       _xlfn.CONCAT(
           _xlfn.XLOOKUP(B298, MasterTable[IRA Custodian], MasterTable[City], ""), ", ",
           _xlfn.XLOOKUP(B298, MasterTable[IRA Custodian], MasterTable[State], ""), " ",
           _xlfn.XLOOKUP(B298, MasterTable[IRA Custodian], MasterTable[Zip], "")
       )
   )
)</f>
        <v>Empty Row</v>
      </c>
    </row>
    <row r="299" spans="1:10" x14ac:dyDescent="0.25">
      <c r="A299" t="str">
        <f>IF(D299="Empty Row", "Empty Row",
   _xlfn.LET(
       _xlpm.lookupResult, _xlfn.XLOOKUP(D299, RawDataTable[Account Name and Number], RawDataTable[Entity], "RAW DATA MISSING"),
       IF(ISBLANK(_xlpm.lookupResult), "RAW DATA MISSING", _xlpm.lookupResult)
   )
)</f>
        <v>Empty Row</v>
      </c>
      <c r="B299" t="str">
        <f>IF(D299="Empty Row", "Empty Row",
   _xlfn.LET(
       _xlpm.rawDataLookup, _xlfn.XLOOKUP(D299,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299" s="56" t="str" cm="1">
        <f t="array" ref="C299">IF(D299="Empty Row", "Empty Row",
   IF(COUNTIF('Name Mapping'!H:AD, D299) &gt; 0,
      INDEX('Name Mapping'!F:F, MATCH(TRUE, MMULT(--('Name Mapping'!H:AD=D299), TRANSPOSE(COLUMN('Name Mapping'!H:AD)^0)) &gt; 0, 0)),
      "")
)</f>
        <v>Empty Row</v>
      </c>
      <c r="D299" t="str">
        <f>IF(RawDataTable[[#This Row],[Account Name and Number]]&lt;&gt;"", RawDataTable[[#This Row],[Account Name and Number]], "Empty Row")</f>
        <v>Empty Row</v>
      </c>
      <c r="E299" s="28" t="str">
        <f>IF(D299="Empty Row", "Empty Row",
   _xlfn.LET(
       _xlpm.lookupResult, _xlfn.XLOOKUP(D299, RawDataTable[Account Name and Number], RawDataTable[Investment Date], "MISSING VALUE"),
       IF(ISNUMBER(_xlpm.lookupResult), _xlpm.lookupResult, "INVALID VALUE")
   )
)</f>
        <v>Empty Row</v>
      </c>
      <c r="F299" s="29" t="str">
        <f>IF(D299="Empty Row", "Empty Row",
   _xlfn.LET(
       _xlpm.lookupResult, _xlfn.XLOOKUP(D299, RawDataTable[Account Name and Number], RawDataTable[Investment Amount], "MISSING VALUE"),
       IF(ISNUMBER(_xlpm.lookupResult), _xlpm.lookupResult, "INVALID VALUE")
   )
)</f>
        <v>Empty Row</v>
      </c>
      <c r="G299" s="28" t="str">
        <f t="shared" ca="1" si="4"/>
        <v>Empty Row</v>
      </c>
      <c r="H299" s="29" t="str">
        <f>IF(D299="Empty Row", "Empty Row",
   _xlfn.LET(
       _xlpm.lookupResult, _xlfn.XLOOKUP(D299, RawDataTable[Account Name and Number], RawDataTable[Valuation Amount], "MISSING VALUE"),
       IF(ISNUMBER(_xlpm.lookupResult), _xlpm.lookupResult, "INVALID VALUE")
   )
)</f>
        <v>Empty Row</v>
      </c>
      <c r="I299" s="2" t="str">
        <f>IF(D299="Empty Row", "Empty Row", IF(_xlfn.XLOOKUP(B299, MasterTable[IRA Custodian], MasterTable[Address], "")="", "NO STREET NAME FOUND", _xlfn.XLOOKUP(B299, MasterTable[IRA Custodian], MasterTable[Address], "")))</f>
        <v>Empty Row</v>
      </c>
      <c r="J299" s="2" t="str">
        <f>IF(D299="Empty Row", "Empty Row",
   IF(OR(
       _xlfn.XLOOKUP(B299, MasterTable[IRA Custodian], MasterTable[City], "")="",
       _xlfn.XLOOKUP(B299, MasterTable[IRA Custodian], MasterTable[State], "")="",
       _xlfn.XLOOKUP(B299, MasterTable[IRA Custodian], MasterTable[Zip], "")=""),
       "INCOMPLETE ADDRESS",
       _xlfn.CONCAT(
           _xlfn.XLOOKUP(B299, MasterTable[IRA Custodian], MasterTable[City], ""), ", ",
           _xlfn.XLOOKUP(B299, MasterTable[IRA Custodian], MasterTable[State], ""), " ",
           _xlfn.XLOOKUP(B299, MasterTable[IRA Custodian], MasterTable[Zip], "")
       )
   )
)</f>
        <v>Empty Row</v>
      </c>
    </row>
    <row r="300" spans="1:10" x14ac:dyDescent="0.25">
      <c r="A300" t="str">
        <f>IF(D300="Empty Row", "Empty Row",
   _xlfn.LET(
       _xlpm.lookupResult, _xlfn.XLOOKUP(D300, RawDataTable[Account Name and Number], RawDataTable[Entity], "RAW DATA MISSING"),
       IF(ISBLANK(_xlpm.lookupResult), "RAW DATA MISSING", _xlpm.lookupResult)
   )
)</f>
        <v>Empty Row</v>
      </c>
      <c r="B300" t="str">
        <f>IF(D300="Empty Row", "Empty Row",
   _xlfn.LET(
       _xlpm.rawDataLookup, _xlfn.XLOOKUP(D300,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00" s="56" t="str" cm="1">
        <f t="array" ref="C300">IF(D300="Empty Row", "Empty Row",
   IF(COUNTIF('Name Mapping'!H:AD, D300) &gt; 0,
      INDEX('Name Mapping'!F:F, MATCH(TRUE, MMULT(--('Name Mapping'!H:AD=D300), TRANSPOSE(COLUMN('Name Mapping'!H:AD)^0)) &gt; 0, 0)),
      "")
)</f>
        <v>Empty Row</v>
      </c>
      <c r="D300" t="str">
        <f>IF(RawDataTable[[#This Row],[Account Name and Number]]&lt;&gt;"", RawDataTable[[#This Row],[Account Name and Number]], "Empty Row")</f>
        <v>Empty Row</v>
      </c>
      <c r="E300" s="28" t="str">
        <f>IF(D300="Empty Row", "Empty Row",
   _xlfn.LET(
       _xlpm.lookupResult, _xlfn.XLOOKUP(D300, RawDataTable[Account Name and Number], RawDataTable[Investment Date], "MISSING VALUE"),
       IF(ISNUMBER(_xlpm.lookupResult), _xlpm.lookupResult, "INVALID VALUE")
   )
)</f>
        <v>Empty Row</v>
      </c>
      <c r="F300" s="29" t="str">
        <f>IF(D300="Empty Row", "Empty Row",
   _xlfn.LET(
       _xlpm.lookupResult, _xlfn.XLOOKUP(D300, RawDataTable[Account Name and Number], RawDataTable[Investment Amount], "MISSING VALUE"),
       IF(ISNUMBER(_xlpm.lookupResult), _xlpm.lookupResult, "INVALID VALUE")
   )
)</f>
        <v>Empty Row</v>
      </c>
      <c r="G300" s="28" t="str">
        <f t="shared" ca="1" si="4"/>
        <v>Empty Row</v>
      </c>
      <c r="H300" s="29" t="str">
        <f>IF(D300="Empty Row", "Empty Row",
   _xlfn.LET(
       _xlpm.lookupResult, _xlfn.XLOOKUP(D300, RawDataTable[Account Name and Number], RawDataTable[Valuation Amount], "MISSING VALUE"),
       IF(ISNUMBER(_xlpm.lookupResult), _xlpm.lookupResult, "INVALID VALUE")
   )
)</f>
        <v>Empty Row</v>
      </c>
      <c r="I300" s="2" t="str">
        <f>IF(D300="Empty Row", "Empty Row", IF(_xlfn.XLOOKUP(B300, MasterTable[IRA Custodian], MasterTable[Address], "")="", "NO STREET NAME FOUND", _xlfn.XLOOKUP(B300, MasterTable[IRA Custodian], MasterTable[Address], "")))</f>
        <v>Empty Row</v>
      </c>
      <c r="J300" s="2" t="str">
        <f>IF(D300="Empty Row", "Empty Row",
   IF(OR(
       _xlfn.XLOOKUP(B300, MasterTable[IRA Custodian], MasterTable[City], "")="",
       _xlfn.XLOOKUP(B300, MasterTable[IRA Custodian], MasterTable[State], "")="",
       _xlfn.XLOOKUP(B300, MasterTable[IRA Custodian], MasterTable[Zip], "")=""),
       "INCOMPLETE ADDRESS",
       _xlfn.CONCAT(
           _xlfn.XLOOKUP(B300, MasterTable[IRA Custodian], MasterTable[City], ""), ", ",
           _xlfn.XLOOKUP(B300, MasterTable[IRA Custodian], MasterTable[State], ""), " ",
           _xlfn.XLOOKUP(B300, MasterTable[IRA Custodian], MasterTable[Zip], "")
       )
   )
)</f>
        <v>Empty Row</v>
      </c>
    </row>
    <row r="301" spans="1:10" x14ac:dyDescent="0.25">
      <c r="A301" t="str">
        <f>IF(D301="Empty Row", "Empty Row",
   _xlfn.LET(
       _xlpm.lookupResult, _xlfn.XLOOKUP(D301, RawDataTable[Account Name and Number], RawDataTable[Entity], "RAW DATA MISSING"),
       IF(ISBLANK(_xlpm.lookupResult), "RAW DATA MISSING", _xlpm.lookupResult)
   )
)</f>
        <v>Empty Row</v>
      </c>
      <c r="B301" t="str">
        <f>IF(D301="Empty Row", "Empty Row",
   _xlfn.LET(
       _xlpm.rawDataLookup, _xlfn.XLOOKUP(D301,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01" s="56" t="str" cm="1">
        <f t="array" ref="C301">IF(D301="Empty Row", "Empty Row",
   IF(COUNTIF('Name Mapping'!H:AD, D301) &gt; 0,
      INDEX('Name Mapping'!F:F, MATCH(TRUE, MMULT(--('Name Mapping'!H:AD=D301), TRANSPOSE(COLUMN('Name Mapping'!H:AD)^0)) &gt; 0, 0)),
      "")
)</f>
        <v>Empty Row</v>
      </c>
      <c r="D301" t="str">
        <f>IF(RawDataTable[[#This Row],[Account Name and Number]]&lt;&gt;"", RawDataTable[[#This Row],[Account Name and Number]], "Empty Row")</f>
        <v>Empty Row</v>
      </c>
      <c r="E301" s="28" t="str">
        <f>IF(D301="Empty Row", "Empty Row",
   _xlfn.LET(
       _xlpm.lookupResult, _xlfn.XLOOKUP(D301, RawDataTable[Account Name and Number], RawDataTable[Investment Date], "MISSING VALUE"),
       IF(ISNUMBER(_xlpm.lookupResult), _xlpm.lookupResult, "INVALID VALUE")
   )
)</f>
        <v>Empty Row</v>
      </c>
      <c r="F301" s="29" t="str">
        <f>IF(D301="Empty Row", "Empty Row",
   _xlfn.LET(
       _xlpm.lookupResult, _xlfn.XLOOKUP(D301, RawDataTable[Account Name and Number], RawDataTable[Investment Amount], "MISSING VALUE"),
       IF(ISNUMBER(_xlpm.lookupResult), _xlpm.lookupResult, "INVALID VALUE")
   )
)</f>
        <v>Empty Row</v>
      </c>
      <c r="G301" s="28" t="str">
        <f t="shared" ca="1" si="4"/>
        <v>Empty Row</v>
      </c>
      <c r="H301" s="29" t="str">
        <f>IF(D301="Empty Row", "Empty Row",
   _xlfn.LET(
       _xlpm.lookupResult, _xlfn.XLOOKUP(D301, RawDataTable[Account Name and Number], RawDataTable[Valuation Amount], "MISSING VALUE"),
       IF(ISNUMBER(_xlpm.lookupResult), _xlpm.lookupResult, "INVALID VALUE")
   )
)</f>
        <v>Empty Row</v>
      </c>
      <c r="I301" s="2" t="str">
        <f>IF(D301="Empty Row", "Empty Row", IF(_xlfn.XLOOKUP(B301, MasterTable[IRA Custodian], MasterTable[Address], "")="", "NO STREET NAME FOUND", _xlfn.XLOOKUP(B301, MasterTable[IRA Custodian], MasterTable[Address], "")))</f>
        <v>Empty Row</v>
      </c>
      <c r="J301" s="2" t="str">
        <f>IF(D301="Empty Row", "Empty Row",
   IF(OR(
       _xlfn.XLOOKUP(B301, MasterTable[IRA Custodian], MasterTable[City], "")="",
       _xlfn.XLOOKUP(B301, MasterTable[IRA Custodian], MasterTable[State], "")="",
       _xlfn.XLOOKUP(B301, MasterTable[IRA Custodian], MasterTable[Zip], "")=""),
       "INCOMPLETE ADDRESS",
       _xlfn.CONCAT(
           _xlfn.XLOOKUP(B301, MasterTable[IRA Custodian], MasterTable[City], ""), ", ",
           _xlfn.XLOOKUP(B301, MasterTable[IRA Custodian], MasterTable[State], ""), " ",
           _xlfn.XLOOKUP(B301, MasterTable[IRA Custodian], MasterTable[Zip], "")
       )
   )
)</f>
        <v>Empty Row</v>
      </c>
    </row>
    <row r="302" spans="1:10" x14ac:dyDescent="0.25">
      <c r="A302" t="str">
        <f>IF(D302="Empty Row", "Empty Row",
   _xlfn.LET(
       _xlpm.lookupResult, _xlfn.XLOOKUP(D302, RawDataTable[Account Name and Number], RawDataTable[Entity], "RAW DATA MISSING"),
       IF(ISBLANK(_xlpm.lookupResult), "RAW DATA MISSING", _xlpm.lookupResult)
   )
)</f>
        <v>Empty Row</v>
      </c>
      <c r="B302" t="str">
        <f>IF(D302="Empty Row", "Empty Row",
   _xlfn.LET(
       _xlpm.rawDataLookup, _xlfn.XLOOKUP(D302,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02" s="56" t="str" cm="1">
        <f t="array" ref="C302">IF(D302="Empty Row", "Empty Row",
   IF(COUNTIF('Name Mapping'!H:AD, D302) &gt; 0,
      INDEX('Name Mapping'!F:F, MATCH(TRUE, MMULT(--('Name Mapping'!H:AD=D302), TRANSPOSE(COLUMN('Name Mapping'!H:AD)^0)) &gt; 0, 0)),
      "")
)</f>
        <v>Empty Row</v>
      </c>
      <c r="D302" t="str">
        <f>IF(RawDataTable[[#This Row],[Account Name and Number]]&lt;&gt;"", RawDataTable[[#This Row],[Account Name and Number]], "Empty Row")</f>
        <v>Empty Row</v>
      </c>
      <c r="E302" s="28" t="str">
        <f>IF(D302="Empty Row", "Empty Row",
   _xlfn.LET(
       _xlpm.lookupResult, _xlfn.XLOOKUP(D302, RawDataTable[Account Name and Number], RawDataTable[Investment Date], "MISSING VALUE"),
       IF(ISNUMBER(_xlpm.lookupResult), _xlpm.lookupResult, "INVALID VALUE")
   )
)</f>
        <v>Empty Row</v>
      </c>
      <c r="F302" s="29" t="str">
        <f>IF(D302="Empty Row", "Empty Row",
   _xlfn.LET(
       _xlpm.lookupResult, _xlfn.XLOOKUP(D302, RawDataTable[Account Name and Number], RawDataTable[Investment Amount], "MISSING VALUE"),
       IF(ISNUMBER(_xlpm.lookupResult), _xlpm.lookupResult, "INVALID VALUE")
   )
)</f>
        <v>Empty Row</v>
      </c>
      <c r="G302" s="28" t="str">
        <f t="shared" ca="1" si="4"/>
        <v>Empty Row</v>
      </c>
      <c r="H302" s="29" t="str">
        <f>IF(D302="Empty Row", "Empty Row",
   _xlfn.LET(
       _xlpm.lookupResult, _xlfn.XLOOKUP(D302, RawDataTable[Account Name and Number], RawDataTable[Valuation Amount], "MISSING VALUE"),
       IF(ISNUMBER(_xlpm.lookupResult), _xlpm.lookupResult, "INVALID VALUE")
   )
)</f>
        <v>Empty Row</v>
      </c>
      <c r="I302" s="2" t="str">
        <f>IF(D302="Empty Row", "Empty Row", IF(_xlfn.XLOOKUP(B302, MasterTable[IRA Custodian], MasterTable[Address], "")="", "NO STREET NAME FOUND", _xlfn.XLOOKUP(B302, MasterTable[IRA Custodian], MasterTable[Address], "")))</f>
        <v>Empty Row</v>
      </c>
      <c r="J302" s="2" t="str">
        <f>IF(D302="Empty Row", "Empty Row",
   IF(OR(
       _xlfn.XLOOKUP(B302, MasterTable[IRA Custodian], MasterTable[City], "")="",
       _xlfn.XLOOKUP(B302, MasterTable[IRA Custodian], MasterTable[State], "")="",
       _xlfn.XLOOKUP(B302, MasterTable[IRA Custodian], MasterTable[Zip], "")=""),
       "INCOMPLETE ADDRESS",
       _xlfn.CONCAT(
           _xlfn.XLOOKUP(B302, MasterTable[IRA Custodian], MasterTable[City], ""), ", ",
           _xlfn.XLOOKUP(B302, MasterTable[IRA Custodian], MasterTable[State], ""), " ",
           _xlfn.XLOOKUP(B302, MasterTable[IRA Custodian], MasterTable[Zip], "")
       )
   )
)</f>
        <v>Empty Row</v>
      </c>
    </row>
    <row r="303" spans="1:10" x14ac:dyDescent="0.25">
      <c r="A303" t="str">
        <f>IF(D303="Empty Row", "Empty Row",
   _xlfn.LET(
       _xlpm.lookupResult, _xlfn.XLOOKUP(D303, RawDataTable[Account Name and Number], RawDataTable[Entity], "RAW DATA MISSING"),
       IF(ISBLANK(_xlpm.lookupResult), "RAW DATA MISSING", _xlpm.lookupResult)
   )
)</f>
        <v>Empty Row</v>
      </c>
      <c r="B303" t="str">
        <f>IF(D303="Empty Row", "Empty Row",
   _xlfn.LET(
       _xlpm.rawDataLookup, _xlfn.XLOOKUP(D303,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03" s="56" t="str" cm="1">
        <f t="array" ref="C303">IF(D303="Empty Row", "Empty Row",
   IF(COUNTIF('Name Mapping'!H:AD, D303) &gt; 0,
      INDEX('Name Mapping'!F:F, MATCH(TRUE, MMULT(--('Name Mapping'!H:AD=D303), TRANSPOSE(COLUMN('Name Mapping'!H:AD)^0)) &gt; 0, 0)),
      "")
)</f>
        <v>Empty Row</v>
      </c>
      <c r="D303" t="str">
        <f>IF(RawDataTable[[#This Row],[Account Name and Number]]&lt;&gt;"", RawDataTable[[#This Row],[Account Name and Number]], "Empty Row")</f>
        <v>Empty Row</v>
      </c>
      <c r="E303" s="28" t="str">
        <f>IF(D303="Empty Row", "Empty Row",
   _xlfn.LET(
       _xlpm.lookupResult, _xlfn.XLOOKUP(D303, RawDataTable[Account Name and Number], RawDataTable[Investment Date], "MISSING VALUE"),
       IF(ISNUMBER(_xlpm.lookupResult), _xlpm.lookupResult, "INVALID VALUE")
   )
)</f>
        <v>Empty Row</v>
      </c>
      <c r="F303" s="29" t="str">
        <f>IF(D303="Empty Row", "Empty Row",
   _xlfn.LET(
       _xlpm.lookupResult, _xlfn.XLOOKUP(D303, RawDataTable[Account Name and Number], RawDataTable[Investment Amount], "MISSING VALUE"),
       IF(ISNUMBER(_xlpm.lookupResult), _xlpm.lookupResult, "INVALID VALUE")
   )
)</f>
        <v>Empty Row</v>
      </c>
      <c r="G303" s="28" t="str">
        <f t="shared" ca="1" si="4"/>
        <v>Empty Row</v>
      </c>
      <c r="H303" s="29" t="str">
        <f>IF(D303="Empty Row", "Empty Row",
   _xlfn.LET(
       _xlpm.lookupResult, _xlfn.XLOOKUP(D303, RawDataTable[Account Name and Number], RawDataTable[Valuation Amount], "MISSING VALUE"),
       IF(ISNUMBER(_xlpm.lookupResult), _xlpm.lookupResult, "INVALID VALUE")
   )
)</f>
        <v>Empty Row</v>
      </c>
      <c r="I303" s="2" t="str">
        <f>IF(D303="Empty Row", "Empty Row", IF(_xlfn.XLOOKUP(B303, MasterTable[IRA Custodian], MasterTable[Address], "")="", "NO STREET NAME FOUND", _xlfn.XLOOKUP(B303, MasterTable[IRA Custodian], MasterTable[Address], "")))</f>
        <v>Empty Row</v>
      </c>
      <c r="J303" s="2" t="str">
        <f>IF(D303="Empty Row", "Empty Row",
   IF(OR(
       _xlfn.XLOOKUP(B303, MasterTable[IRA Custodian], MasterTable[City], "")="",
       _xlfn.XLOOKUP(B303, MasterTable[IRA Custodian], MasterTable[State], "")="",
       _xlfn.XLOOKUP(B303, MasterTable[IRA Custodian], MasterTable[Zip], "")=""),
       "INCOMPLETE ADDRESS",
       _xlfn.CONCAT(
           _xlfn.XLOOKUP(B303, MasterTable[IRA Custodian], MasterTable[City], ""), ", ",
           _xlfn.XLOOKUP(B303, MasterTable[IRA Custodian], MasterTable[State], ""), " ",
           _xlfn.XLOOKUP(B303, MasterTable[IRA Custodian], MasterTable[Zip], "")
       )
   )
)</f>
        <v>Empty Row</v>
      </c>
    </row>
    <row r="304" spans="1:10" x14ac:dyDescent="0.25">
      <c r="A304" t="str">
        <f>IF(D304="Empty Row", "Empty Row",
   _xlfn.LET(
       _xlpm.lookupResult, _xlfn.XLOOKUP(D304, RawDataTable[Account Name and Number], RawDataTable[Entity], "RAW DATA MISSING"),
       IF(ISBLANK(_xlpm.lookupResult), "RAW DATA MISSING", _xlpm.lookupResult)
   )
)</f>
        <v>Empty Row</v>
      </c>
      <c r="B304" t="str">
        <f>IF(D304="Empty Row", "Empty Row",
   _xlfn.LET(
       _xlpm.rawDataLookup, _xlfn.XLOOKUP(D304,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04" s="56" t="str" cm="1">
        <f t="array" ref="C304">IF(D304="Empty Row", "Empty Row",
   IF(COUNTIF('Name Mapping'!H:AD, D304) &gt; 0,
      INDEX('Name Mapping'!F:F, MATCH(TRUE, MMULT(--('Name Mapping'!H:AD=D304), TRANSPOSE(COLUMN('Name Mapping'!H:AD)^0)) &gt; 0, 0)),
      "")
)</f>
        <v>Empty Row</v>
      </c>
      <c r="D304" t="str">
        <f>IF(RawDataTable[[#This Row],[Account Name and Number]]&lt;&gt;"", RawDataTable[[#This Row],[Account Name and Number]], "Empty Row")</f>
        <v>Empty Row</v>
      </c>
      <c r="E304" s="28" t="str">
        <f>IF(D304="Empty Row", "Empty Row",
   _xlfn.LET(
       _xlpm.lookupResult, _xlfn.XLOOKUP(D304, RawDataTable[Account Name and Number], RawDataTable[Investment Date], "MISSING VALUE"),
       IF(ISNUMBER(_xlpm.lookupResult), _xlpm.lookupResult, "INVALID VALUE")
   )
)</f>
        <v>Empty Row</v>
      </c>
      <c r="F304" s="29" t="str">
        <f>IF(D304="Empty Row", "Empty Row",
   _xlfn.LET(
       _xlpm.lookupResult, _xlfn.XLOOKUP(D304, RawDataTable[Account Name and Number], RawDataTable[Investment Amount], "MISSING VALUE"),
       IF(ISNUMBER(_xlpm.lookupResult), _xlpm.lookupResult, "INVALID VALUE")
   )
)</f>
        <v>Empty Row</v>
      </c>
      <c r="G304" s="28" t="str">
        <f t="shared" ca="1" si="4"/>
        <v>Empty Row</v>
      </c>
      <c r="H304" s="29" t="str">
        <f>IF(D304="Empty Row", "Empty Row",
   _xlfn.LET(
       _xlpm.lookupResult, _xlfn.XLOOKUP(D304, RawDataTable[Account Name and Number], RawDataTable[Valuation Amount], "MISSING VALUE"),
       IF(ISNUMBER(_xlpm.lookupResult), _xlpm.lookupResult, "INVALID VALUE")
   )
)</f>
        <v>Empty Row</v>
      </c>
      <c r="I304" s="2" t="str">
        <f>IF(D304="Empty Row", "Empty Row", IF(_xlfn.XLOOKUP(B304, MasterTable[IRA Custodian], MasterTable[Address], "")="", "NO STREET NAME FOUND", _xlfn.XLOOKUP(B304, MasterTable[IRA Custodian], MasterTable[Address], "")))</f>
        <v>Empty Row</v>
      </c>
      <c r="J304" s="2" t="str">
        <f>IF(D304="Empty Row", "Empty Row",
   IF(OR(
       _xlfn.XLOOKUP(B304, MasterTable[IRA Custodian], MasterTable[City], "")="",
       _xlfn.XLOOKUP(B304, MasterTable[IRA Custodian], MasterTable[State], "")="",
       _xlfn.XLOOKUP(B304, MasterTable[IRA Custodian], MasterTable[Zip], "")=""),
       "INCOMPLETE ADDRESS",
       _xlfn.CONCAT(
           _xlfn.XLOOKUP(B304, MasterTable[IRA Custodian], MasterTable[City], ""), ", ",
           _xlfn.XLOOKUP(B304, MasterTable[IRA Custodian], MasterTable[State], ""), " ",
           _xlfn.XLOOKUP(B304, MasterTable[IRA Custodian], MasterTable[Zip], "")
       )
   )
)</f>
        <v>Empty Row</v>
      </c>
    </row>
    <row r="305" spans="1:10" x14ac:dyDescent="0.25">
      <c r="A305" t="str">
        <f>IF(D305="Empty Row", "Empty Row",
   _xlfn.LET(
       _xlpm.lookupResult, _xlfn.XLOOKUP(D305, RawDataTable[Account Name and Number], RawDataTable[Entity], "RAW DATA MISSING"),
       IF(ISBLANK(_xlpm.lookupResult), "RAW DATA MISSING", _xlpm.lookupResult)
   )
)</f>
        <v>Empty Row</v>
      </c>
      <c r="B305" t="str">
        <f>IF(D305="Empty Row", "Empty Row",
   _xlfn.LET(
       _xlpm.rawDataLookup, _xlfn.XLOOKUP(D305,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05" s="56" t="str" cm="1">
        <f t="array" ref="C305">IF(D305="Empty Row", "Empty Row",
   IF(COUNTIF('Name Mapping'!H:AD, D305) &gt; 0,
      INDEX('Name Mapping'!F:F, MATCH(TRUE, MMULT(--('Name Mapping'!H:AD=D305), TRANSPOSE(COLUMN('Name Mapping'!H:AD)^0)) &gt; 0, 0)),
      "")
)</f>
        <v>Empty Row</v>
      </c>
      <c r="D305" t="str">
        <f>IF(RawDataTable[[#This Row],[Account Name and Number]]&lt;&gt;"", RawDataTable[[#This Row],[Account Name and Number]], "Empty Row")</f>
        <v>Empty Row</v>
      </c>
      <c r="E305" s="28" t="str">
        <f>IF(D305="Empty Row", "Empty Row",
   _xlfn.LET(
       _xlpm.lookupResult, _xlfn.XLOOKUP(D305, RawDataTable[Account Name and Number], RawDataTable[Investment Date], "MISSING VALUE"),
       IF(ISNUMBER(_xlpm.lookupResult), _xlpm.lookupResult, "INVALID VALUE")
   )
)</f>
        <v>Empty Row</v>
      </c>
      <c r="F305" s="29" t="str">
        <f>IF(D305="Empty Row", "Empty Row",
   _xlfn.LET(
       _xlpm.lookupResult, _xlfn.XLOOKUP(D305, RawDataTable[Account Name and Number], RawDataTable[Investment Amount], "MISSING VALUE"),
       IF(ISNUMBER(_xlpm.lookupResult), _xlpm.lookupResult, "INVALID VALUE")
   )
)</f>
        <v>Empty Row</v>
      </c>
      <c r="G305" s="28" t="str">
        <f t="shared" ca="1" si="4"/>
        <v>Empty Row</v>
      </c>
      <c r="H305" s="29" t="str">
        <f>IF(D305="Empty Row", "Empty Row",
   _xlfn.LET(
       _xlpm.lookupResult, _xlfn.XLOOKUP(D305, RawDataTable[Account Name and Number], RawDataTable[Valuation Amount], "MISSING VALUE"),
       IF(ISNUMBER(_xlpm.lookupResult), _xlpm.lookupResult, "INVALID VALUE")
   )
)</f>
        <v>Empty Row</v>
      </c>
      <c r="I305" s="2" t="str">
        <f>IF(D305="Empty Row", "Empty Row", IF(_xlfn.XLOOKUP(B305, MasterTable[IRA Custodian], MasterTable[Address], "")="", "NO STREET NAME FOUND", _xlfn.XLOOKUP(B305, MasterTable[IRA Custodian], MasterTable[Address], "")))</f>
        <v>Empty Row</v>
      </c>
      <c r="J305" s="2" t="str">
        <f>IF(D305="Empty Row", "Empty Row",
   IF(OR(
       _xlfn.XLOOKUP(B305, MasterTable[IRA Custodian], MasterTable[City], "")="",
       _xlfn.XLOOKUP(B305, MasterTable[IRA Custodian], MasterTable[State], "")="",
       _xlfn.XLOOKUP(B305, MasterTable[IRA Custodian], MasterTable[Zip], "")=""),
       "INCOMPLETE ADDRESS",
       _xlfn.CONCAT(
           _xlfn.XLOOKUP(B305, MasterTable[IRA Custodian], MasterTable[City], ""), ", ",
           _xlfn.XLOOKUP(B305, MasterTable[IRA Custodian], MasterTable[State], ""), " ",
           _xlfn.XLOOKUP(B305, MasterTable[IRA Custodian], MasterTable[Zip], "")
       )
   )
)</f>
        <v>Empty Row</v>
      </c>
    </row>
    <row r="306" spans="1:10" x14ac:dyDescent="0.25">
      <c r="A306" t="str">
        <f>IF(D306="Empty Row", "Empty Row",
   _xlfn.LET(
       _xlpm.lookupResult, _xlfn.XLOOKUP(D306, RawDataTable[Account Name and Number], RawDataTable[Entity], "RAW DATA MISSING"),
       IF(ISBLANK(_xlpm.lookupResult), "RAW DATA MISSING", _xlpm.lookupResult)
   )
)</f>
        <v>Empty Row</v>
      </c>
      <c r="B306" t="str">
        <f>IF(D306="Empty Row", "Empty Row",
   _xlfn.LET(
       _xlpm.rawDataLookup, _xlfn.XLOOKUP(D306,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06" s="56" t="str" cm="1">
        <f t="array" ref="C306">IF(D306="Empty Row", "Empty Row",
   IF(COUNTIF('Name Mapping'!H:AD, D306) &gt; 0,
      INDEX('Name Mapping'!F:F, MATCH(TRUE, MMULT(--('Name Mapping'!H:AD=D306), TRANSPOSE(COLUMN('Name Mapping'!H:AD)^0)) &gt; 0, 0)),
      "")
)</f>
        <v>Empty Row</v>
      </c>
      <c r="D306" t="str">
        <f>IF(RawDataTable[[#This Row],[Account Name and Number]]&lt;&gt;"", RawDataTable[[#This Row],[Account Name and Number]], "Empty Row")</f>
        <v>Empty Row</v>
      </c>
      <c r="E306" s="28" t="str">
        <f>IF(D306="Empty Row", "Empty Row",
   _xlfn.LET(
       _xlpm.lookupResult, _xlfn.XLOOKUP(D306, RawDataTable[Account Name and Number], RawDataTable[Investment Date], "MISSING VALUE"),
       IF(ISNUMBER(_xlpm.lookupResult), _xlpm.lookupResult, "INVALID VALUE")
   )
)</f>
        <v>Empty Row</v>
      </c>
      <c r="F306" s="29" t="str">
        <f>IF(D306="Empty Row", "Empty Row",
   _xlfn.LET(
       _xlpm.lookupResult, _xlfn.XLOOKUP(D306, RawDataTable[Account Name and Number], RawDataTable[Investment Amount], "MISSING VALUE"),
       IF(ISNUMBER(_xlpm.lookupResult), _xlpm.lookupResult, "INVALID VALUE")
   )
)</f>
        <v>Empty Row</v>
      </c>
      <c r="G306" s="28" t="str">
        <f t="shared" ca="1" si="4"/>
        <v>Empty Row</v>
      </c>
      <c r="H306" s="29" t="str">
        <f>IF(D306="Empty Row", "Empty Row",
   _xlfn.LET(
       _xlpm.lookupResult, _xlfn.XLOOKUP(D306, RawDataTable[Account Name and Number], RawDataTable[Valuation Amount], "MISSING VALUE"),
       IF(ISNUMBER(_xlpm.lookupResult), _xlpm.lookupResult, "INVALID VALUE")
   )
)</f>
        <v>Empty Row</v>
      </c>
      <c r="I306" s="2" t="str">
        <f>IF(D306="Empty Row", "Empty Row", IF(_xlfn.XLOOKUP(B306, MasterTable[IRA Custodian], MasterTable[Address], "")="", "NO STREET NAME FOUND", _xlfn.XLOOKUP(B306, MasterTable[IRA Custodian], MasterTable[Address], "")))</f>
        <v>Empty Row</v>
      </c>
      <c r="J306" s="2" t="str">
        <f>IF(D306="Empty Row", "Empty Row",
   IF(OR(
       _xlfn.XLOOKUP(B306, MasterTable[IRA Custodian], MasterTable[City], "")="",
       _xlfn.XLOOKUP(B306, MasterTable[IRA Custodian], MasterTable[State], "")="",
       _xlfn.XLOOKUP(B306, MasterTable[IRA Custodian], MasterTable[Zip], "")=""),
       "INCOMPLETE ADDRESS",
       _xlfn.CONCAT(
           _xlfn.XLOOKUP(B306, MasterTable[IRA Custodian], MasterTable[City], ""), ", ",
           _xlfn.XLOOKUP(B306, MasterTable[IRA Custodian], MasterTable[State], ""), " ",
           _xlfn.XLOOKUP(B306, MasterTable[IRA Custodian], MasterTable[Zip], "")
       )
   )
)</f>
        <v>Empty Row</v>
      </c>
    </row>
    <row r="307" spans="1:10" x14ac:dyDescent="0.25">
      <c r="A307" t="str">
        <f>IF(D307="Empty Row", "Empty Row",
   _xlfn.LET(
       _xlpm.lookupResult, _xlfn.XLOOKUP(D307, RawDataTable[Account Name and Number], RawDataTable[Entity], "RAW DATA MISSING"),
       IF(ISBLANK(_xlpm.lookupResult), "RAW DATA MISSING", _xlpm.lookupResult)
   )
)</f>
        <v>Empty Row</v>
      </c>
      <c r="B307" t="str">
        <f>IF(D307="Empty Row", "Empty Row",
   _xlfn.LET(
       _xlpm.rawDataLookup, _xlfn.XLOOKUP(D307,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07" s="56" t="str" cm="1">
        <f t="array" ref="C307">IF(D307="Empty Row", "Empty Row",
   IF(COUNTIF('Name Mapping'!H:AD, D307) &gt; 0,
      INDEX('Name Mapping'!F:F, MATCH(TRUE, MMULT(--('Name Mapping'!H:AD=D307), TRANSPOSE(COLUMN('Name Mapping'!H:AD)^0)) &gt; 0, 0)),
      "")
)</f>
        <v>Empty Row</v>
      </c>
      <c r="D307" t="str">
        <f>IF(RawDataTable[[#This Row],[Account Name and Number]]&lt;&gt;"", RawDataTable[[#This Row],[Account Name and Number]], "Empty Row")</f>
        <v>Empty Row</v>
      </c>
      <c r="E307" s="28" t="str">
        <f>IF(D307="Empty Row", "Empty Row",
   _xlfn.LET(
       _xlpm.lookupResult, _xlfn.XLOOKUP(D307, RawDataTable[Account Name and Number], RawDataTable[Investment Date], "MISSING VALUE"),
       IF(ISNUMBER(_xlpm.lookupResult), _xlpm.lookupResult, "INVALID VALUE")
   )
)</f>
        <v>Empty Row</v>
      </c>
      <c r="F307" s="29" t="str">
        <f>IF(D307="Empty Row", "Empty Row",
   _xlfn.LET(
       _xlpm.lookupResult, _xlfn.XLOOKUP(D307, RawDataTable[Account Name and Number], RawDataTable[Investment Amount], "MISSING VALUE"),
       IF(ISNUMBER(_xlpm.lookupResult), _xlpm.lookupResult, "INVALID VALUE")
   )
)</f>
        <v>Empty Row</v>
      </c>
      <c r="G307" s="28" t="str">
        <f t="shared" ca="1" si="4"/>
        <v>Empty Row</v>
      </c>
      <c r="H307" s="29" t="str">
        <f>IF(D307="Empty Row", "Empty Row",
   _xlfn.LET(
       _xlpm.lookupResult, _xlfn.XLOOKUP(D307, RawDataTable[Account Name and Number], RawDataTable[Valuation Amount], "MISSING VALUE"),
       IF(ISNUMBER(_xlpm.lookupResult), _xlpm.lookupResult, "INVALID VALUE")
   )
)</f>
        <v>Empty Row</v>
      </c>
      <c r="I307" s="2" t="str">
        <f>IF(D307="Empty Row", "Empty Row", IF(_xlfn.XLOOKUP(B307, MasterTable[IRA Custodian], MasterTable[Address], "")="", "NO STREET NAME FOUND", _xlfn.XLOOKUP(B307, MasterTable[IRA Custodian], MasterTable[Address], "")))</f>
        <v>Empty Row</v>
      </c>
      <c r="J307" s="2" t="str">
        <f>IF(D307="Empty Row", "Empty Row",
   IF(OR(
       _xlfn.XLOOKUP(B307, MasterTable[IRA Custodian], MasterTable[City], "")="",
       _xlfn.XLOOKUP(B307, MasterTable[IRA Custodian], MasterTable[State], "")="",
       _xlfn.XLOOKUP(B307, MasterTable[IRA Custodian], MasterTable[Zip], "")=""),
       "INCOMPLETE ADDRESS",
       _xlfn.CONCAT(
           _xlfn.XLOOKUP(B307, MasterTable[IRA Custodian], MasterTable[City], ""), ", ",
           _xlfn.XLOOKUP(B307, MasterTable[IRA Custodian], MasterTable[State], ""), " ",
           _xlfn.XLOOKUP(B307, MasterTable[IRA Custodian], MasterTable[Zip], "")
       )
   )
)</f>
        <v>Empty Row</v>
      </c>
    </row>
    <row r="308" spans="1:10" x14ac:dyDescent="0.25">
      <c r="A308" t="str">
        <f>IF(D308="Empty Row", "Empty Row",
   _xlfn.LET(
       _xlpm.lookupResult, _xlfn.XLOOKUP(D308, RawDataTable[Account Name and Number], RawDataTable[Entity], "RAW DATA MISSING"),
       IF(ISBLANK(_xlpm.lookupResult), "RAW DATA MISSING", _xlpm.lookupResult)
   )
)</f>
        <v>Empty Row</v>
      </c>
      <c r="B308" t="str">
        <f>IF(D308="Empty Row", "Empty Row",
   _xlfn.LET(
       _xlpm.rawDataLookup, _xlfn.XLOOKUP(D308,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08" s="56" t="str" cm="1">
        <f t="array" ref="C308">IF(D308="Empty Row", "Empty Row",
   IF(COUNTIF('Name Mapping'!H:AD, D308) &gt; 0,
      INDEX('Name Mapping'!F:F, MATCH(TRUE, MMULT(--('Name Mapping'!H:AD=D308), TRANSPOSE(COLUMN('Name Mapping'!H:AD)^0)) &gt; 0, 0)),
      "")
)</f>
        <v>Empty Row</v>
      </c>
      <c r="D308" t="str">
        <f>IF(RawDataTable[[#This Row],[Account Name and Number]]&lt;&gt;"", RawDataTable[[#This Row],[Account Name and Number]], "Empty Row")</f>
        <v>Empty Row</v>
      </c>
      <c r="E308" s="28" t="str">
        <f>IF(D308="Empty Row", "Empty Row",
   _xlfn.LET(
       _xlpm.lookupResult, _xlfn.XLOOKUP(D308, RawDataTable[Account Name and Number], RawDataTable[Investment Date], "MISSING VALUE"),
       IF(ISNUMBER(_xlpm.lookupResult), _xlpm.lookupResult, "INVALID VALUE")
   )
)</f>
        <v>Empty Row</v>
      </c>
      <c r="F308" s="29" t="str">
        <f>IF(D308="Empty Row", "Empty Row",
   _xlfn.LET(
       _xlpm.lookupResult, _xlfn.XLOOKUP(D308, RawDataTable[Account Name and Number], RawDataTable[Investment Amount], "MISSING VALUE"),
       IF(ISNUMBER(_xlpm.lookupResult), _xlpm.lookupResult, "INVALID VALUE")
   )
)</f>
        <v>Empty Row</v>
      </c>
      <c r="G308" s="28" t="str">
        <f t="shared" ca="1" si="4"/>
        <v>Empty Row</v>
      </c>
      <c r="H308" s="29" t="str">
        <f>IF(D308="Empty Row", "Empty Row",
   _xlfn.LET(
       _xlpm.lookupResult, _xlfn.XLOOKUP(D308, RawDataTable[Account Name and Number], RawDataTable[Valuation Amount], "MISSING VALUE"),
       IF(ISNUMBER(_xlpm.lookupResult), _xlpm.lookupResult, "INVALID VALUE")
   )
)</f>
        <v>Empty Row</v>
      </c>
      <c r="I308" s="2" t="str">
        <f>IF(D308="Empty Row", "Empty Row", IF(_xlfn.XLOOKUP(B308, MasterTable[IRA Custodian], MasterTable[Address], "")="", "NO STREET NAME FOUND", _xlfn.XLOOKUP(B308, MasterTable[IRA Custodian], MasterTable[Address], "")))</f>
        <v>Empty Row</v>
      </c>
      <c r="J308" s="2" t="str">
        <f>IF(D308="Empty Row", "Empty Row",
   IF(OR(
       _xlfn.XLOOKUP(B308, MasterTable[IRA Custodian], MasterTable[City], "")="",
       _xlfn.XLOOKUP(B308, MasterTable[IRA Custodian], MasterTable[State], "")="",
       _xlfn.XLOOKUP(B308, MasterTable[IRA Custodian], MasterTable[Zip], "")=""),
       "INCOMPLETE ADDRESS",
       _xlfn.CONCAT(
           _xlfn.XLOOKUP(B308, MasterTable[IRA Custodian], MasterTable[City], ""), ", ",
           _xlfn.XLOOKUP(B308, MasterTable[IRA Custodian], MasterTable[State], ""), " ",
           _xlfn.XLOOKUP(B308, MasterTable[IRA Custodian], MasterTable[Zip], "")
       )
   )
)</f>
        <v>Empty Row</v>
      </c>
    </row>
    <row r="309" spans="1:10" x14ac:dyDescent="0.25">
      <c r="A309" t="str">
        <f>IF(D309="Empty Row", "Empty Row",
   _xlfn.LET(
       _xlpm.lookupResult, _xlfn.XLOOKUP(D309, RawDataTable[Account Name and Number], RawDataTable[Entity], "RAW DATA MISSING"),
       IF(ISBLANK(_xlpm.lookupResult), "RAW DATA MISSING", _xlpm.lookupResult)
   )
)</f>
        <v>Empty Row</v>
      </c>
      <c r="B309" t="str">
        <f>IF(D309="Empty Row", "Empty Row",
   _xlfn.LET(
       _xlpm.rawDataLookup, _xlfn.XLOOKUP(D309,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09" s="56" t="str" cm="1">
        <f t="array" ref="C309">IF(D309="Empty Row", "Empty Row",
   IF(COUNTIF('Name Mapping'!H:AD, D309) &gt; 0,
      INDEX('Name Mapping'!F:F, MATCH(TRUE, MMULT(--('Name Mapping'!H:AD=D309), TRANSPOSE(COLUMN('Name Mapping'!H:AD)^0)) &gt; 0, 0)),
      "")
)</f>
        <v>Empty Row</v>
      </c>
      <c r="D309" t="str">
        <f>IF(RawDataTable[[#This Row],[Account Name and Number]]&lt;&gt;"", RawDataTable[[#This Row],[Account Name and Number]], "Empty Row")</f>
        <v>Empty Row</v>
      </c>
      <c r="E309" s="28" t="str">
        <f>IF(D309="Empty Row", "Empty Row",
   _xlfn.LET(
       _xlpm.lookupResult, _xlfn.XLOOKUP(D309, RawDataTable[Account Name and Number], RawDataTable[Investment Date], "MISSING VALUE"),
       IF(ISNUMBER(_xlpm.lookupResult), _xlpm.lookupResult, "INVALID VALUE")
   )
)</f>
        <v>Empty Row</v>
      </c>
      <c r="F309" s="29" t="str">
        <f>IF(D309="Empty Row", "Empty Row",
   _xlfn.LET(
       _xlpm.lookupResult, _xlfn.XLOOKUP(D309, RawDataTable[Account Name and Number], RawDataTable[Investment Amount], "MISSING VALUE"),
       IF(ISNUMBER(_xlpm.lookupResult), _xlpm.lookupResult, "INVALID VALUE")
   )
)</f>
        <v>Empty Row</v>
      </c>
      <c r="G309" s="28" t="str">
        <f t="shared" ca="1" si="4"/>
        <v>Empty Row</v>
      </c>
      <c r="H309" s="29" t="str">
        <f>IF(D309="Empty Row", "Empty Row",
   _xlfn.LET(
       _xlpm.lookupResult, _xlfn.XLOOKUP(D309, RawDataTable[Account Name and Number], RawDataTable[Valuation Amount], "MISSING VALUE"),
       IF(ISNUMBER(_xlpm.lookupResult), _xlpm.lookupResult, "INVALID VALUE")
   )
)</f>
        <v>Empty Row</v>
      </c>
      <c r="I309" s="2" t="str">
        <f>IF(D309="Empty Row", "Empty Row", IF(_xlfn.XLOOKUP(B309, MasterTable[IRA Custodian], MasterTable[Address], "")="", "NO STREET NAME FOUND", _xlfn.XLOOKUP(B309, MasterTable[IRA Custodian], MasterTable[Address], "")))</f>
        <v>Empty Row</v>
      </c>
      <c r="J309" s="2" t="str">
        <f>IF(D309="Empty Row", "Empty Row",
   IF(OR(
       _xlfn.XLOOKUP(B309, MasterTable[IRA Custodian], MasterTable[City], "")="",
       _xlfn.XLOOKUP(B309, MasterTable[IRA Custodian], MasterTable[State], "")="",
       _xlfn.XLOOKUP(B309, MasterTable[IRA Custodian], MasterTable[Zip], "")=""),
       "INCOMPLETE ADDRESS",
       _xlfn.CONCAT(
           _xlfn.XLOOKUP(B309, MasterTable[IRA Custodian], MasterTable[City], ""), ", ",
           _xlfn.XLOOKUP(B309, MasterTable[IRA Custodian], MasterTable[State], ""), " ",
           _xlfn.XLOOKUP(B309, MasterTable[IRA Custodian], MasterTable[Zip], "")
       )
   )
)</f>
        <v>Empty Row</v>
      </c>
    </row>
    <row r="310" spans="1:10" x14ac:dyDescent="0.25">
      <c r="A310" t="str">
        <f>IF(D310="Empty Row", "Empty Row",
   _xlfn.LET(
       _xlpm.lookupResult, _xlfn.XLOOKUP(D310, RawDataTable[Account Name and Number], RawDataTable[Entity], "RAW DATA MISSING"),
       IF(ISBLANK(_xlpm.lookupResult), "RAW DATA MISSING", _xlpm.lookupResult)
   )
)</f>
        <v>Empty Row</v>
      </c>
      <c r="B310" t="str">
        <f>IF(D310="Empty Row", "Empty Row",
   _xlfn.LET(
       _xlpm.rawDataLookup, _xlfn.XLOOKUP(D310,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10" s="56" t="str" cm="1">
        <f t="array" ref="C310">IF(D310="Empty Row", "Empty Row",
   IF(COUNTIF('Name Mapping'!H:AD, D310) &gt; 0,
      INDEX('Name Mapping'!F:F, MATCH(TRUE, MMULT(--('Name Mapping'!H:AD=D310), TRANSPOSE(COLUMN('Name Mapping'!H:AD)^0)) &gt; 0, 0)),
      "")
)</f>
        <v>Empty Row</v>
      </c>
      <c r="D310" t="str">
        <f>IF(RawDataTable[[#This Row],[Account Name and Number]]&lt;&gt;"", RawDataTable[[#This Row],[Account Name and Number]], "Empty Row")</f>
        <v>Empty Row</v>
      </c>
      <c r="E310" s="28" t="str">
        <f>IF(D310="Empty Row", "Empty Row",
   _xlfn.LET(
       _xlpm.lookupResult, _xlfn.XLOOKUP(D310, RawDataTable[Account Name and Number], RawDataTable[Investment Date], "MISSING VALUE"),
       IF(ISNUMBER(_xlpm.lookupResult), _xlpm.lookupResult, "INVALID VALUE")
   )
)</f>
        <v>Empty Row</v>
      </c>
      <c r="F310" s="29" t="str">
        <f>IF(D310="Empty Row", "Empty Row",
   _xlfn.LET(
       _xlpm.lookupResult, _xlfn.XLOOKUP(D310, RawDataTable[Account Name and Number], RawDataTable[Investment Amount], "MISSING VALUE"),
       IF(ISNUMBER(_xlpm.lookupResult), _xlpm.lookupResult, "INVALID VALUE")
   )
)</f>
        <v>Empty Row</v>
      </c>
      <c r="G310" s="28" t="str">
        <f t="shared" ca="1" si="4"/>
        <v>Empty Row</v>
      </c>
      <c r="H310" s="29" t="str">
        <f>IF(D310="Empty Row", "Empty Row",
   _xlfn.LET(
       _xlpm.lookupResult, _xlfn.XLOOKUP(D310, RawDataTable[Account Name and Number], RawDataTable[Valuation Amount], "MISSING VALUE"),
       IF(ISNUMBER(_xlpm.lookupResult), _xlpm.lookupResult, "INVALID VALUE")
   )
)</f>
        <v>Empty Row</v>
      </c>
      <c r="I310" s="2" t="str">
        <f>IF(D310="Empty Row", "Empty Row", IF(_xlfn.XLOOKUP(B310, MasterTable[IRA Custodian], MasterTable[Address], "")="", "NO STREET NAME FOUND", _xlfn.XLOOKUP(B310, MasterTable[IRA Custodian], MasterTable[Address], "")))</f>
        <v>Empty Row</v>
      </c>
      <c r="J310" s="2" t="str">
        <f>IF(D310="Empty Row", "Empty Row",
   IF(OR(
       _xlfn.XLOOKUP(B310, MasterTable[IRA Custodian], MasterTable[City], "")="",
       _xlfn.XLOOKUP(B310, MasterTable[IRA Custodian], MasterTable[State], "")="",
       _xlfn.XLOOKUP(B310, MasterTable[IRA Custodian], MasterTable[Zip], "")=""),
       "INCOMPLETE ADDRESS",
       _xlfn.CONCAT(
           _xlfn.XLOOKUP(B310, MasterTable[IRA Custodian], MasterTable[City], ""), ", ",
           _xlfn.XLOOKUP(B310, MasterTable[IRA Custodian], MasterTable[State], ""), " ",
           _xlfn.XLOOKUP(B310, MasterTable[IRA Custodian], MasterTable[Zip], "")
       )
   )
)</f>
        <v>Empty Row</v>
      </c>
    </row>
    <row r="311" spans="1:10" x14ac:dyDescent="0.25">
      <c r="A311" t="str">
        <f>IF(D311="Empty Row", "Empty Row",
   _xlfn.LET(
       _xlpm.lookupResult, _xlfn.XLOOKUP(D311, RawDataTable[Account Name and Number], RawDataTable[Entity], "RAW DATA MISSING"),
       IF(ISBLANK(_xlpm.lookupResult), "RAW DATA MISSING", _xlpm.lookupResult)
   )
)</f>
        <v>Empty Row</v>
      </c>
      <c r="B311" t="str">
        <f>IF(D311="Empty Row", "Empty Row",
   _xlfn.LET(
       _xlpm.rawDataLookup, _xlfn.XLOOKUP(D311,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11" s="56" t="str" cm="1">
        <f t="array" ref="C311">IF(D311="Empty Row", "Empty Row",
   IF(COUNTIF('Name Mapping'!H:AD, D311) &gt; 0,
      INDEX('Name Mapping'!F:F, MATCH(TRUE, MMULT(--('Name Mapping'!H:AD=D311), TRANSPOSE(COLUMN('Name Mapping'!H:AD)^0)) &gt; 0, 0)),
      "")
)</f>
        <v>Empty Row</v>
      </c>
      <c r="D311" t="str">
        <f>IF(RawDataTable[[#This Row],[Account Name and Number]]&lt;&gt;"", RawDataTable[[#This Row],[Account Name and Number]], "Empty Row")</f>
        <v>Empty Row</v>
      </c>
      <c r="E311" s="28" t="str">
        <f>IF(D311="Empty Row", "Empty Row",
   _xlfn.LET(
       _xlpm.lookupResult, _xlfn.XLOOKUP(D311, RawDataTable[Account Name and Number], RawDataTable[Investment Date], "MISSING VALUE"),
       IF(ISNUMBER(_xlpm.lookupResult), _xlpm.lookupResult, "INVALID VALUE")
   )
)</f>
        <v>Empty Row</v>
      </c>
      <c r="F311" s="29" t="str">
        <f>IF(D311="Empty Row", "Empty Row",
   _xlfn.LET(
       _xlpm.lookupResult, _xlfn.XLOOKUP(D311, RawDataTable[Account Name and Number], RawDataTable[Investment Amount], "MISSING VALUE"),
       IF(ISNUMBER(_xlpm.lookupResult), _xlpm.lookupResult, "INVALID VALUE")
   )
)</f>
        <v>Empty Row</v>
      </c>
      <c r="G311" s="28" t="str">
        <f t="shared" ca="1" si="4"/>
        <v>Empty Row</v>
      </c>
      <c r="H311" s="29" t="str">
        <f>IF(D311="Empty Row", "Empty Row",
   _xlfn.LET(
       _xlpm.lookupResult, _xlfn.XLOOKUP(D311, RawDataTable[Account Name and Number], RawDataTable[Valuation Amount], "MISSING VALUE"),
       IF(ISNUMBER(_xlpm.lookupResult), _xlpm.lookupResult, "INVALID VALUE")
   )
)</f>
        <v>Empty Row</v>
      </c>
      <c r="I311" s="2" t="str">
        <f>IF(D311="Empty Row", "Empty Row", IF(_xlfn.XLOOKUP(B311, MasterTable[IRA Custodian], MasterTable[Address], "")="", "NO STREET NAME FOUND", _xlfn.XLOOKUP(B311, MasterTable[IRA Custodian], MasterTable[Address], "")))</f>
        <v>Empty Row</v>
      </c>
      <c r="J311" s="2" t="str">
        <f>IF(D311="Empty Row", "Empty Row",
   IF(OR(
       _xlfn.XLOOKUP(B311, MasterTable[IRA Custodian], MasterTable[City], "")="",
       _xlfn.XLOOKUP(B311, MasterTable[IRA Custodian], MasterTable[State], "")="",
       _xlfn.XLOOKUP(B311, MasterTable[IRA Custodian], MasterTable[Zip], "")=""),
       "INCOMPLETE ADDRESS",
       _xlfn.CONCAT(
           _xlfn.XLOOKUP(B311, MasterTable[IRA Custodian], MasterTable[City], ""), ", ",
           _xlfn.XLOOKUP(B311, MasterTable[IRA Custodian], MasterTable[State], ""), " ",
           _xlfn.XLOOKUP(B311, MasterTable[IRA Custodian], MasterTable[Zip], "")
       )
   )
)</f>
        <v>Empty Row</v>
      </c>
    </row>
    <row r="312" spans="1:10" x14ac:dyDescent="0.25">
      <c r="A312" t="str">
        <f>IF(D312="Empty Row", "Empty Row",
   _xlfn.LET(
       _xlpm.lookupResult, _xlfn.XLOOKUP(D312, RawDataTable[Account Name and Number], RawDataTable[Entity], "RAW DATA MISSING"),
       IF(ISBLANK(_xlpm.lookupResult), "RAW DATA MISSING", _xlpm.lookupResult)
   )
)</f>
        <v>Empty Row</v>
      </c>
      <c r="B312" t="str">
        <f>IF(D312="Empty Row", "Empty Row",
   _xlfn.LET(
       _xlpm.rawDataLookup, _xlfn.XLOOKUP(D312,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12" s="56" t="str" cm="1">
        <f t="array" ref="C312">IF(D312="Empty Row", "Empty Row",
   IF(COUNTIF('Name Mapping'!H:AD, D312) &gt; 0,
      INDEX('Name Mapping'!F:F, MATCH(TRUE, MMULT(--('Name Mapping'!H:AD=D312), TRANSPOSE(COLUMN('Name Mapping'!H:AD)^0)) &gt; 0, 0)),
      "")
)</f>
        <v>Empty Row</v>
      </c>
      <c r="D312" t="str">
        <f>IF(RawDataTable[[#This Row],[Account Name and Number]]&lt;&gt;"", RawDataTable[[#This Row],[Account Name and Number]], "Empty Row")</f>
        <v>Empty Row</v>
      </c>
      <c r="E312" s="28" t="str">
        <f>IF(D312="Empty Row", "Empty Row",
   _xlfn.LET(
       _xlpm.lookupResult, _xlfn.XLOOKUP(D312, RawDataTable[Account Name and Number], RawDataTable[Investment Date], "MISSING VALUE"),
       IF(ISNUMBER(_xlpm.lookupResult), _xlpm.lookupResult, "INVALID VALUE")
   )
)</f>
        <v>Empty Row</v>
      </c>
      <c r="F312" s="29" t="str">
        <f>IF(D312="Empty Row", "Empty Row",
   _xlfn.LET(
       _xlpm.lookupResult, _xlfn.XLOOKUP(D312, RawDataTable[Account Name and Number], RawDataTable[Investment Amount], "MISSING VALUE"),
       IF(ISNUMBER(_xlpm.lookupResult), _xlpm.lookupResult, "INVALID VALUE")
   )
)</f>
        <v>Empty Row</v>
      </c>
      <c r="G312" s="28" t="str">
        <f t="shared" ca="1" si="4"/>
        <v>Empty Row</v>
      </c>
      <c r="H312" s="29" t="str">
        <f>IF(D312="Empty Row", "Empty Row",
   _xlfn.LET(
       _xlpm.lookupResult, _xlfn.XLOOKUP(D312, RawDataTable[Account Name and Number], RawDataTable[Valuation Amount], "MISSING VALUE"),
       IF(ISNUMBER(_xlpm.lookupResult), _xlpm.lookupResult, "INVALID VALUE")
   )
)</f>
        <v>Empty Row</v>
      </c>
      <c r="I312" s="2" t="str">
        <f>IF(D312="Empty Row", "Empty Row", IF(_xlfn.XLOOKUP(B312, MasterTable[IRA Custodian], MasterTable[Address], "")="", "NO STREET NAME FOUND", _xlfn.XLOOKUP(B312, MasterTable[IRA Custodian], MasterTable[Address], "")))</f>
        <v>Empty Row</v>
      </c>
      <c r="J312" s="2" t="str">
        <f>IF(D312="Empty Row", "Empty Row",
   IF(OR(
       _xlfn.XLOOKUP(B312, MasterTable[IRA Custodian], MasterTable[City], "")="",
       _xlfn.XLOOKUP(B312, MasterTable[IRA Custodian], MasterTable[State], "")="",
       _xlfn.XLOOKUP(B312, MasterTable[IRA Custodian], MasterTable[Zip], "")=""),
       "INCOMPLETE ADDRESS",
       _xlfn.CONCAT(
           _xlfn.XLOOKUP(B312, MasterTable[IRA Custodian], MasterTable[City], ""), ", ",
           _xlfn.XLOOKUP(B312, MasterTable[IRA Custodian], MasterTable[State], ""), " ",
           _xlfn.XLOOKUP(B312, MasterTable[IRA Custodian], MasterTable[Zip], "")
       )
   )
)</f>
        <v>Empty Row</v>
      </c>
    </row>
    <row r="313" spans="1:10" x14ac:dyDescent="0.25">
      <c r="A313" t="str">
        <f>IF(D313="Empty Row", "Empty Row",
   _xlfn.LET(
       _xlpm.lookupResult, _xlfn.XLOOKUP(D313, RawDataTable[Account Name and Number], RawDataTable[Entity], "RAW DATA MISSING"),
       IF(ISBLANK(_xlpm.lookupResult), "RAW DATA MISSING", _xlpm.lookupResult)
   )
)</f>
        <v>Empty Row</v>
      </c>
      <c r="B313" t="str">
        <f>IF(D313="Empty Row", "Empty Row",
   _xlfn.LET(
       _xlpm.rawDataLookup, _xlfn.XLOOKUP(D313,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13" s="56" t="str" cm="1">
        <f t="array" ref="C313">IF(D313="Empty Row", "Empty Row",
   IF(COUNTIF('Name Mapping'!H:AD, D313) &gt; 0,
      INDEX('Name Mapping'!F:F, MATCH(TRUE, MMULT(--('Name Mapping'!H:AD=D313), TRANSPOSE(COLUMN('Name Mapping'!H:AD)^0)) &gt; 0, 0)),
      "")
)</f>
        <v>Empty Row</v>
      </c>
      <c r="D313" t="str">
        <f>IF(RawDataTable[[#This Row],[Account Name and Number]]&lt;&gt;"", RawDataTable[[#This Row],[Account Name and Number]], "Empty Row")</f>
        <v>Empty Row</v>
      </c>
      <c r="E313" s="28" t="str">
        <f>IF(D313="Empty Row", "Empty Row",
   _xlfn.LET(
       _xlpm.lookupResult, _xlfn.XLOOKUP(D313, RawDataTable[Account Name and Number], RawDataTable[Investment Date], "MISSING VALUE"),
       IF(ISNUMBER(_xlpm.lookupResult), _xlpm.lookupResult, "INVALID VALUE")
   )
)</f>
        <v>Empty Row</v>
      </c>
      <c r="F313" s="29" t="str">
        <f>IF(D313="Empty Row", "Empty Row",
   _xlfn.LET(
       _xlpm.lookupResult, _xlfn.XLOOKUP(D313, RawDataTable[Account Name and Number], RawDataTable[Investment Amount], "MISSING VALUE"),
       IF(ISNUMBER(_xlpm.lookupResult), _xlpm.lookupResult, "INVALID VALUE")
   )
)</f>
        <v>Empty Row</v>
      </c>
      <c r="G313" s="28" t="str">
        <f t="shared" ca="1" si="4"/>
        <v>Empty Row</v>
      </c>
      <c r="H313" s="29" t="str">
        <f>IF(D313="Empty Row", "Empty Row",
   _xlfn.LET(
       _xlpm.lookupResult, _xlfn.XLOOKUP(D313, RawDataTable[Account Name and Number], RawDataTable[Valuation Amount], "MISSING VALUE"),
       IF(ISNUMBER(_xlpm.lookupResult), _xlpm.lookupResult, "INVALID VALUE")
   )
)</f>
        <v>Empty Row</v>
      </c>
      <c r="I313" s="2" t="str">
        <f>IF(D313="Empty Row", "Empty Row", IF(_xlfn.XLOOKUP(B313, MasterTable[IRA Custodian], MasterTable[Address], "")="", "NO STREET NAME FOUND", _xlfn.XLOOKUP(B313, MasterTable[IRA Custodian], MasterTable[Address], "")))</f>
        <v>Empty Row</v>
      </c>
      <c r="J313" s="2" t="str">
        <f>IF(D313="Empty Row", "Empty Row",
   IF(OR(
       _xlfn.XLOOKUP(B313, MasterTable[IRA Custodian], MasterTable[City], "")="",
       _xlfn.XLOOKUP(B313, MasterTable[IRA Custodian], MasterTable[State], "")="",
       _xlfn.XLOOKUP(B313, MasterTable[IRA Custodian], MasterTable[Zip], "")=""),
       "INCOMPLETE ADDRESS",
       _xlfn.CONCAT(
           _xlfn.XLOOKUP(B313, MasterTable[IRA Custodian], MasterTable[City], ""), ", ",
           _xlfn.XLOOKUP(B313, MasterTable[IRA Custodian], MasterTable[State], ""), " ",
           _xlfn.XLOOKUP(B313, MasterTable[IRA Custodian], MasterTable[Zip], "")
       )
   )
)</f>
        <v>Empty Row</v>
      </c>
    </row>
    <row r="314" spans="1:10" x14ac:dyDescent="0.25">
      <c r="A314" t="str">
        <f>IF(D314="Empty Row", "Empty Row",
   _xlfn.LET(
       _xlpm.lookupResult, _xlfn.XLOOKUP(D314, RawDataTable[Account Name and Number], RawDataTable[Entity], "RAW DATA MISSING"),
       IF(ISBLANK(_xlpm.lookupResult), "RAW DATA MISSING", _xlpm.lookupResult)
   )
)</f>
        <v>Empty Row</v>
      </c>
      <c r="B314" t="str">
        <f>IF(D314="Empty Row", "Empty Row",
   _xlfn.LET(
       _xlpm.rawDataLookup, _xlfn.XLOOKUP(D314,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14" s="56" t="str" cm="1">
        <f t="array" ref="C314">IF(D314="Empty Row", "Empty Row",
   IF(COUNTIF('Name Mapping'!H:AD, D314) &gt; 0,
      INDEX('Name Mapping'!F:F, MATCH(TRUE, MMULT(--('Name Mapping'!H:AD=D314), TRANSPOSE(COLUMN('Name Mapping'!H:AD)^0)) &gt; 0, 0)),
      "")
)</f>
        <v>Empty Row</v>
      </c>
      <c r="D314" t="str">
        <f>IF(RawDataTable[[#This Row],[Account Name and Number]]&lt;&gt;"", RawDataTable[[#This Row],[Account Name and Number]], "Empty Row")</f>
        <v>Empty Row</v>
      </c>
      <c r="E314" s="28" t="str">
        <f>IF(D314="Empty Row", "Empty Row",
   _xlfn.LET(
       _xlpm.lookupResult, _xlfn.XLOOKUP(D314, RawDataTable[Account Name and Number], RawDataTable[Investment Date], "MISSING VALUE"),
       IF(ISNUMBER(_xlpm.lookupResult), _xlpm.lookupResult, "INVALID VALUE")
   )
)</f>
        <v>Empty Row</v>
      </c>
      <c r="F314" s="29" t="str">
        <f>IF(D314="Empty Row", "Empty Row",
   _xlfn.LET(
       _xlpm.lookupResult, _xlfn.XLOOKUP(D314, RawDataTable[Account Name and Number], RawDataTable[Investment Amount], "MISSING VALUE"),
       IF(ISNUMBER(_xlpm.lookupResult), _xlpm.lookupResult, "INVALID VALUE")
   )
)</f>
        <v>Empty Row</v>
      </c>
      <c r="G314" s="28" t="str">
        <f t="shared" ca="1" si="4"/>
        <v>Empty Row</v>
      </c>
      <c r="H314" s="29" t="str">
        <f>IF(D314="Empty Row", "Empty Row",
   _xlfn.LET(
       _xlpm.lookupResult, _xlfn.XLOOKUP(D314, RawDataTable[Account Name and Number], RawDataTable[Valuation Amount], "MISSING VALUE"),
       IF(ISNUMBER(_xlpm.lookupResult), _xlpm.lookupResult, "INVALID VALUE")
   )
)</f>
        <v>Empty Row</v>
      </c>
      <c r="I314" s="2" t="str">
        <f>IF(D314="Empty Row", "Empty Row", IF(_xlfn.XLOOKUP(B314, MasterTable[IRA Custodian], MasterTable[Address], "")="", "NO STREET NAME FOUND", _xlfn.XLOOKUP(B314, MasterTable[IRA Custodian], MasterTable[Address], "")))</f>
        <v>Empty Row</v>
      </c>
      <c r="J314" s="2" t="str">
        <f>IF(D314="Empty Row", "Empty Row",
   IF(OR(
       _xlfn.XLOOKUP(B314, MasterTable[IRA Custodian], MasterTable[City], "")="",
       _xlfn.XLOOKUP(B314, MasterTable[IRA Custodian], MasterTable[State], "")="",
       _xlfn.XLOOKUP(B314, MasterTable[IRA Custodian], MasterTable[Zip], "")=""),
       "INCOMPLETE ADDRESS",
       _xlfn.CONCAT(
           _xlfn.XLOOKUP(B314, MasterTable[IRA Custodian], MasterTable[City], ""), ", ",
           _xlfn.XLOOKUP(B314, MasterTable[IRA Custodian], MasterTable[State], ""), " ",
           _xlfn.XLOOKUP(B314, MasterTable[IRA Custodian], MasterTable[Zip], "")
       )
   )
)</f>
        <v>Empty Row</v>
      </c>
    </row>
    <row r="315" spans="1:10" x14ac:dyDescent="0.25">
      <c r="A315" t="str">
        <f>IF(D315="Empty Row", "Empty Row",
   _xlfn.LET(
       _xlpm.lookupResult, _xlfn.XLOOKUP(D315, RawDataTable[Account Name and Number], RawDataTable[Entity], "RAW DATA MISSING"),
       IF(ISBLANK(_xlpm.lookupResult), "RAW DATA MISSING", _xlpm.lookupResult)
   )
)</f>
        <v>Empty Row</v>
      </c>
      <c r="B315" t="str">
        <f>IF(D315="Empty Row", "Empty Row",
   _xlfn.LET(
       _xlpm.rawDataLookup, _xlfn.XLOOKUP(D315,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15" s="56" t="str" cm="1">
        <f t="array" ref="C315">IF(D315="Empty Row", "Empty Row",
   IF(COUNTIF('Name Mapping'!H:AD, D315) &gt; 0,
      INDEX('Name Mapping'!F:F, MATCH(TRUE, MMULT(--('Name Mapping'!H:AD=D315), TRANSPOSE(COLUMN('Name Mapping'!H:AD)^0)) &gt; 0, 0)),
      "")
)</f>
        <v>Empty Row</v>
      </c>
      <c r="D315" t="str">
        <f>IF(RawDataTable[[#This Row],[Account Name and Number]]&lt;&gt;"", RawDataTable[[#This Row],[Account Name and Number]], "Empty Row")</f>
        <v>Empty Row</v>
      </c>
      <c r="E315" s="28" t="str">
        <f>IF(D315="Empty Row", "Empty Row",
   _xlfn.LET(
       _xlpm.lookupResult, _xlfn.XLOOKUP(D315, RawDataTable[Account Name and Number], RawDataTable[Investment Date], "MISSING VALUE"),
       IF(ISNUMBER(_xlpm.lookupResult), _xlpm.lookupResult, "INVALID VALUE")
   )
)</f>
        <v>Empty Row</v>
      </c>
      <c r="F315" s="29" t="str">
        <f>IF(D315="Empty Row", "Empty Row",
   _xlfn.LET(
       _xlpm.lookupResult, _xlfn.XLOOKUP(D315, RawDataTable[Account Name and Number], RawDataTable[Investment Amount], "MISSING VALUE"),
       IF(ISNUMBER(_xlpm.lookupResult), _xlpm.lookupResult, "INVALID VALUE")
   )
)</f>
        <v>Empty Row</v>
      </c>
      <c r="G315" s="28" t="str">
        <f t="shared" ca="1" si="4"/>
        <v>Empty Row</v>
      </c>
      <c r="H315" s="29" t="str">
        <f>IF(D315="Empty Row", "Empty Row",
   _xlfn.LET(
       _xlpm.lookupResult, _xlfn.XLOOKUP(D315, RawDataTable[Account Name and Number], RawDataTable[Valuation Amount], "MISSING VALUE"),
       IF(ISNUMBER(_xlpm.lookupResult), _xlpm.lookupResult, "INVALID VALUE")
   )
)</f>
        <v>Empty Row</v>
      </c>
      <c r="I315" s="2" t="str">
        <f>IF(D315="Empty Row", "Empty Row", IF(_xlfn.XLOOKUP(B315, MasterTable[IRA Custodian], MasterTable[Address], "")="", "NO STREET NAME FOUND", _xlfn.XLOOKUP(B315, MasterTable[IRA Custodian], MasterTable[Address], "")))</f>
        <v>Empty Row</v>
      </c>
      <c r="J315" s="2" t="str">
        <f>IF(D315="Empty Row", "Empty Row",
   IF(OR(
       _xlfn.XLOOKUP(B315, MasterTable[IRA Custodian], MasterTable[City], "")="",
       _xlfn.XLOOKUP(B315, MasterTable[IRA Custodian], MasterTable[State], "")="",
       _xlfn.XLOOKUP(B315, MasterTable[IRA Custodian], MasterTable[Zip], "")=""),
       "INCOMPLETE ADDRESS",
       _xlfn.CONCAT(
           _xlfn.XLOOKUP(B315, MasterTable[IRA Custodian], MasterTable[City], ""), ", ",
           _xlfn.XLOOKUP(B315, MasterTable[IRA Custodian], MasterTable[State], ""), " ",
           _xlfn.XLOOKUP(B315, MasterTable[IRA Custodian], MasterTable[Zip], "")
       )
   )
)</f>
        <v>Empty Row</v>
      </c>
    </row>
    <row r="316" spans="1:10" x14ac:dyDescent="0.25">
      <c r="A316" t="str">
        <f>IF(D316="Empty Row", "Empty Row",
   _xlfn.LET(
       _xlpm.lookupResult, _xlfn.XLOOKUP(D316, RawDataTable[Account Name and Number], RawDataTable[Entity], "RAW DATA MISSING"),
       IF(ISBLANK(_xlpm.lookupResult), "RAW DATA MISSING", _xlpm.lookupResult)
   )
)</f>
        <v>Empty Row</v>
      </c>
      <c r="B316" t="str">
        <f>IF(D316="Empty Row", "Empty Row",
   _xlfn.LET(
       _xlpm.rawDataLookup, _xlfn.XLOOKUP(D316,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16" s="56" t="str" cm="1">
        <f t="array" ref="C316">IF(D316="Empty Row", "Empty Row",
   IF(COUNTIF('Name Mapping'!H:AD, D316) &gt; 0,
      INDEX('Name Mapping'!F:F, MATCH(TRUE, MMULT(--('Name Mapping'!H:AD=D316), TRANSPOSE(COLUMN('Name Mapping'!H:AD)^0)) &gt; 0, 0)),
      "")
)</f>
        <v>Empty Row</v>
      </c>
      <c r="D316" t="str">
        <f>IF(RawDataTable[[#This Row],[Account Name and Number]]&lt;&gt;"", RawDataTable[[#This Row],[Account Name and Number]], "Empty Row")</f>
        <v>Empty Row</v>
      </c>
      <c r="E316" s="28" t="str">
        <f>IF(D316="Empty Row", "Empty Row",
   _xlfn.LET(
       _xlpm.lookupResult, _xlfn.XLOOKUP(D316, RawDataTable[Account Name and Number], RawDataTable[Investment Date], "MISSING VALUE"),
       IF(ISNUMBER(_xlpm.lookupResult), _xlpm.lookupResult, "INVALID VALUE")
   )
)</f>
        <v>Empty Row</v>
      </c>
      <c r="F316" s="29" t="str">
        <f>IF(D316="Empty Row", "Empty Row",
   _xlfn.LET(
       _xlpm.lookupResult, _xlfn.XLOOKUP(D316, RawDataTable[Account Name and Number], RawDataTable[Investment Amount], "MISSING VALUE"),
       IF(ISNUMBER(_xlpm.lookupResult), _xlpm.lookupResult, "INVALID VALUE")
   )
)</f>
        <v>Empty Row</v>
      </c>
      <c r="G316" s="28" t="str">
        <f t="shared" ca="1" si="4"/>
        <v>Empty Row</v>
      </c>
      <c r="H316" s="29" t="str">
        <f>IF(D316="Empty Row", "Empty Row",
   _xlfn.LET(
       _xlpm.lookupResult, _xlfn.XLOOKUP(D316, RawDataTable[Account Name and Number], RawDataTable[Valuation Amount], "MISSING VALUE"),
       IF(ISNUMBER(_xlpm.lookupResult), _xlpm.lookupResult, "INVALID VALUE")
   )
)</f>
        <v>Empty Row</v>
      </c>
      <c r="I316" s="2" t="str">
        <f>IF(D316="Empty Row", "Empty Row", IF(_xlfn.XLOOKUP(B316, MasterTable[IRA Custodian], MasterTable[Address], "")="", "NO STREET NAME FOUND", _xlfn.XLOOKUP(B316, MasterTable[IRA Custodian], MasterTable[Address], "")))</f>
        <v>Empty Row</v>
      </c>
      <c r="J316" s="2" t="str">
        <f>IF(D316="Empty Row", "Empty Row",
   IF(OR(
       _xlfn.XLOOKUP(B316, MasterTable[IRA Custodian], MasterTable[City], "")="",
       _xlfn.XLOOKUP(B316, MasterTable[IRA Custodian], MasterTable[State], "")="",
       _xlfn.XLOOKUP(B316, MasterTable[IRA Custodian], MasterTable[Zip], "")=""),
       "INCOMPLETE ADDRESS",
       _xlfn.CONCAT(
           _xlfn.XLOOKUP(B316, MasterTable[IRA Custodian], MasterTable[City], ""), ", ",
           _xlfn.XLOOKUP(B316, MasterTable[IRA Custodian], MasterTable[State], ""), " ",
           _xlfn.XLOOKUP(B316, MasterTable[IRA Custodian], MasterTable[Zip], "")
       )
   )
)</f>
        <v>Empty Row</v>
      </c>
    </row>
    <row r="317" spans="1:10" x14ac:dyDescent="0.25">
      <c r="A317" t="str">
        <f>IF(D317="Empty Row", "Empty Row",
   _xlfn.LET(
       _xlpm.lookupResult, _xlfn.XLOOKUP(D317, RawDataTable[Account Name and Number], RawDataTable[Entity], "RAW DATA MISSING"),
       IF(ISBLANK(_xlpm.lookupResult), "RAW DATA MISSING", _xlpm.lookupResult)
   )
)</f>
        <v>Empty Row</v>
      </c>
      <c r="B317" t="str">
        <f>IF(D317="Empty Row", "Empty Row",
   _xlfn.LET(
       _xlpm.rawDataLookup, _xlfn.XLOOKUP(D317,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17" s="56" t="str" cm="1">
        <f t="array" ref="C317">IF(D317="Empty Row", "Empty Row",
   IF(COUNTIF('Name Mapping'!H:AD, D317) &gt; 0,
      INDEX('Name Mapping'!F:F, MATCH(TRUE, MMULT(--('Name Mapping'!H:AD=D317), TRANSPOSE(COLUMN('Name Mapping'!H:AD)^0)) &gt; 0, 0)),
      "")
)</f>
        <v>Empty Row</v>
      </c>
      <c r="D317" t="str">
        <f>IF(RawDataTable[[#This Row],[Account Name and Number]]&lt;&gt;"", RawDataTable[[#This Row],[Account Name and Number]], "Empty Row")</f>
        <v>Empty Row</v>
      </c>
      <c r="E317" s="28" t="str">
        <f>IF(D317="Empty Row", "Empty Row",
   _xlfn.LET(
       _xlpm.lookupResult, _xlfn.XLOOKUP(D317, RawDataTable[Account Name and Number], RawDataTable[Investment Date], "MISSING VALUE"),
       IF(ISNUMBER(_xlpm.lookupResult), _xlpm.lookupResult, "INVALID VALUE")
   )
)</f>
        <v>Empty Row</v>
      </c>
      <c r="F317" s="29" t="str">
        <f>IF(D317="Empty Row", "Empty Row",
   _xlfn.LET(
       _xlpm.lookupResult, _xlfn.XLOOKUP(D317, RawDataTable[Account Name and Number], RawDataTable[Investment Amount], "MISSING VALUE"),
       IF(ISNUMBER(_xlpm.lookupResult), _xlpm.lookupResult, "INVALID VALUE")
   )
)</f>
        <v>Empty Row</v>
      </c>
      <c r="G317" s="28" t="str">
        <f t="shared" ca="1" si="4"/>
        <v>Empty Row</v>
      </c>
      <c r="H317" s="29" t="str">
        <f>IF(D317="Empty Row", "Empty Row",
   _xlfn.LET(
       _xlpm.lookupResult, _xlfn.XLOOKUP(D317, RawDataTable[Account Name and Number], RawDataTable[Valuation Amount], "MISSING VALUE"),
       IF(ISNUMBER(_xlpm.lookupResult), _xlpm.lookupResult, "INVALID VALUE")
   )
)</f>
        <v>Empty Row</v>
      </c>
      <c r="I317" s="2" t="str">
        <f>IF(D317="Empty Row", "Empty Row", IF(_xlfn.XLOOKUP(B317, MasterTable[IRA Custodian], MasterTable[Address], "")="", "NO STREET NAME FOUND", _xlfn.XLOOKUP(B317, MasterTable[IRA Custodian], MasterTable[Address], "")))</f>
        <v>Empty Row</v>
      </c>
      <c r="J317" s="2" t="str">
        <f>IF(D317="Empty Row", "Empty Row",
   IF(OR(
       _xlfn.XLOOKUP(B317, MasterTable[IRA Custodian], MasterTable[City], "")="",
       _xlfn.XLOOKUP(B317, MasterTable[IRA Custodian], MasterTable[State], "")="",
       _xlfn.XLOOKUP(B317, MasterTable[IRA Custodian], MasterTable[Zip], "")=""),
       "INCOMPLETE ADDRESS",
       _xlfn.CONCAT(
           _xlfn.XLOOKUP(B317, MasterTable[IRA Custodian], MasterTable[City], ""), ", ",
           _xlfn.XLOOKUP(B317, MasterTable[IRA Custodian], MasterTable[State], ""), " ",
           _xlfn.XLOOKUP(B317, MasterTable[IRA Custodian], MasterTable[Zip], "")
       )
   )
)</f>
        <v>Empty Row</v>
      </c>
    </row>
    <row r="318" spans="1:10" x14ac:dyDescent="0.25">
      <c r="A318" t="str">
        <f>IF(D318="Empty Row", "Empty Row",
   _xlfn.LET(
       _xlpm.lookupResult, _xlfn.XLOOKUP(D318, RawDataTable[Account Name and Number], RawDataTable[Entity], "RAW DATA MISSING"),
       IF(ISBLANK(_xlpm.lookupResult), "RAW DATA MISSING", _xlpm.lookupResult)
   )
)</f>
        <v>Empty Row</v>
      </c>
      <c r="B318" t="str">
        <f>IF(D318="Empty Row", "Empty Row",
   _xlfn.LET(
       _xlpm.rawDataLookup, _xlfn.XLOOKUP(D318,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18" s="56" t="str" cm="1">
        <f t="array" ref="C318">IF(D318="Empty Row", "Empty Row",
   IF(COUNTIF('Name Mapping'!H:AD, D318) &gt; 0,
      INDEX('Name Mapping'!F:F, MATCH(TRUE, MMULT(--('Name Mapping'!H:AD=D318), TRANSPOSE(COLUMN('Name Mapping'!H:AD)^0)) &gt; 0, 0)),
      "")
)</f>
        <v>Empty Row</v>
      </c>
      <c r="D318" t="str">
        <f>IF(RawDataTable[[#This Row],[Account Name and Number]]&lt;&gt;"", RawDataTable[[#This Row],[Account Name and Number]], "Empty Row")</f>
        <v>Empty Row</v>
      </c>
      <c r="E318" s="28" t="str">
        <f>IF(D318="Empty Row", "Empty Row",
   _xlfn.LET(
       _xlpm.lookupResult, _xlfn.XLOOKUP(D318, RawDataTable[Account Name and Number], RawDataTable[Investment Date], "MISSING VALUE"),
       IF(ISNUMBER(_xlpm.lookupResult), _xlpm.lookupResult, "INVALID VALUE")
   )
)</f>
        <v>Empty Row</v>
      </c>
      <c r="F318" s="29" t="str">
        <f>IF(D318="Empty Row", "Empty Row",
   _xlfn.LET(
       _xlpm.lookupResult, _xlfn.XLOOKUP(D318, RawDataTable[Account Name and Number], RawDataTable[Investment Amount], "MISSING VALUE"),
       IF(ISNUMBER(_xlpm.lookupResult), _xlpm.lookupResult, "INVALID VALUE")
   )
)</f>
        <v>Empty Row</v>
      </c>
      <c r="G318" s="28" t="str">
        <f t="shared" ca="1" si="4"/>
        <v>Empty Row</v>
      </c>
      <c r="H318" s="29" t="str">
        <f>IF(D318="Empty Row", "Empty Row",
   _xlfn.LET(
       _xlpm.lookupResult, _xlfn.XLOOKUP(D318, RawDataTable[Account Name and Number], RawDataTable[Valuation Amount], "MISSING VALUE"),
       IF(ISNUMBER(_xlpm.lookupResult), _xlpm.lookupResult, "INVALID VALUE")
   )
)</f>
        <v>Empty Row</v>
      </c>
      <c r="I318" s="2" t="str">
        <f>IF(D318="Empty Row", "Empty Row", IF(_xlfn.XLOOKUP(B318, MasterTable[IRA Custodian], MasterTable[Address], "")="", "NO STREET NAME FOUND", _xlfn.XLOOKUP(B318, MasterTable[IRA Custodian], MasterTable[Address], "")))</f>
        <v>Empty Row</v>
      </c>
      <c r="J318" s="2" t="str">
        <f>IF(D318="Empty Row", "Empty Row",
   IF(OR(
       _xlfn.XLOOKUP(B318, MasterTable[IRA Custodian], MasterTable[City], "")="",
       _xlfn.XLOOKUP(B318, MasterTable[IRA Custodian], MasterTable[State], "")="",
       _xlfn.XLOOKUP(B318, MasterTable[IRA Custodian], MasterTable[Zip], "")=""),
       "INCOMPLETE ADDRESS",
       _xlfn.CONCAT(
           _xlfn.XLOOKUP(B318, MasterTable[IRA Custodian], MasterTable[City], ""), ", ",
           _xlfn.XLOOKUP(B318, MasterTable[IRA Custodian], MasterTable[State], ""), " ",
           _xlfn.XLOOKUP(B318, MasterTable[IRA Custodian], MasterTable[Zip], "")
       )
   )
)</f>
        <v>Empty Row</v>
      </c>
    </row>
    <row r="319" spans="1:10" x14ac:dyDescent="0.25">
      <c r="A319" t="str">
        <f>IF(D319="Empty Row", "Empty Row",
   _xlfn.LET(
       _xlpm.lookupResult, _xlfn.XLOOKUP(D319, RawDataTable[Account Name and Number], RawDataTable[Entity], "RAW DATA MISSING"),
       IF(ISBLANK(_xlpm.lookupResult), "RAW DATA MISSING", _xlpm.lookupResult)
   )
)</f>
        <v>Empty Row</v>
      </c>
      <c r="B319" t="str">
        <f>IF(D319="Empty Row", "Empty Row",
   _xlfn.LET(
       _xlpm.rawDataLookup, _xlfn.XLOOKUP(D319,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19" s="56" t="str" cm="1">
        <f t="array" ref="C319">IF(D319="Empty Row", "Empty Row",
   IF(COUNTIF('Name Mapping'!H:AD, D319) &gt; 0,
      INDEX('Name Mapping'!F:F, MATCH(TRUE, MMULT(--('Name Mapping'!H:AD=D319), TRANSPOSE(COLUMN('Name Mapping'!H:AD)^0)) &gt; 0, 0)),
      "")
)</f>
        <v>Empty Row</v>
      </c>
      <c r="D319" t="str">
        <f>IF(RawDataTable[[#This Row],[Account Name and Number]]&lt;&gt;"", RawDataTable[[#This Row],[Account Name and Number]], "Empty Row")</f>
        <v>Empty Row</v>
      </c>
      <c r="E319" s="28" t="str">
        <f>IF(D319="Empty Row", "Empty Row",
   _xlfn.LET(
       _xlpm.lookupResult, _xlfn.XLOOKUP(D319, RawDataTable[Account Name and Number], RawDataTable[Investment Date], "MISSING VALUE"),
       IF(ISNUMBER(_xlpm.lookupResult), _xlpm.lookupResult, "INVALID VALUE")
   )
)</f>
        <v>Empty Row</v>
      </c>
      <c r="F319" s="29" t="str">
        <f>IF(D319="Empty Row", "Empty Row",
   _xlfn.LET(
       _xlpm.lookupResult, _xlfn.XLOOKUP(D319, RawDataTable[Account Name and Number], RawDataTable[Investment Amount], "MISSING VALUE"),
       IF(ISNUMBER(_xlpm.lookupResult), _xlpm.lookupResult, "INVALID VALUE")
   )
)</f>
        <v>Empty Row</v>
      </c>
      <c r="G319" s="28" t="str">
        <f t="shared" ca="1" si="4"/>
        <v>Empty Row</v>
      </c>
      <c r="H319" s="29" t="str">
        <f>IF(D319="Empty Row", "Empty Row",
   _xlfn.LET(
       _xlpm.lookupResult, _xlfn.XLOOKUP(D319, RawDataTable[Account Name and Number], RawDataTable[Valuation Amount], "MISSING VALUE"),
       IF(ISNUMBER(_xlpm.lookupResult), _xlpm.lookupResult, "INVALID VALUE")
   )
)</f>
        <v>Empty Row</v>
      </c>
      <c r="I319" s="2" t="str">
        <f>IF(D319="Empty Row", "Empty Row", IF(_xlfn.XLOOKUP(B319, MasterTable[IRA Custodian], MasterTable[Address], "")="", "NO STREET NAME FOUND", _xlfn.XLOOKUP(B319, MasterTable[IRA Custodian], MasterTable[Address], "")))</f>
        <v>Empty Row</v>
      </c>
      <c r="J319" s="2" t="str">
        <f>IF(D319="Empty Row", "Empty Row",
   IF(OR(
       _xlfn.XLOOKUP(B319, MasterTable[IRA Custodian], MasterTable[City], "")="",
       _xlfn.XLOOKUP(B319, MasterTable[IRA Custodian], MasterTable[State], "")="",
       _xlfn.XLOOKUP(B319, MasterTable[IRA Custodian], MasterTable[Zip], "")=""),
       "INCOMPLETE ADDRESS",
       _xlfn.CONCAT(
           _xlfn.XLOOKUP(B319, MasterTable[IRA Custodian], MasterTable[City], ""), ", ",
           _xlfn.XLOOKUP(B319, MasterTable[IRA Custodian], MasterTable[State], ""), " ",
           _xlfn.XLOOKUP(B319, MasterTable[IRA Custodian], MasterTable[Zip], "")
       )
   )
)</f>
        <v>Empty Row</v>
      </c>
    </row>
    <row r="320" spans="1:10" x14ac:dyDescent="0.25">
      <c r="A320" t="str">
        <f>IF(D320="Empty Row", "Empty Row",
   _xlfn.LET(
       _xlpm.lookupResult, _xlfn.XLOOKUP(D320, RawDataTable[Account Name and Number], RawDataTable[Entity], "RAW DATA MISSING"),
       IF(ISBLANK(_xlpm.lookupResult), "RAW DATA MISSING", _xlpm.lookupResult)
   )
)</f>
        <v>Empty Row</v>
      </c>
      <c r="B320" t="str">
        <f>IF(D320="Empty Row", "Empty Row",
   _xlfn.LET(
       _xlpm.rawDataLookup, _xlfn.XLOOKUP(D320,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20" s="56" t="str" cm="1">
        <f t="array" ref="C320">IF(D320="Empty Row", "Empty Row",
   IF(COUNTIF('Name Mapping'!H:AD, D320) &gt; 0,
      INDEX('Name Mapping'!F:F, MATCH(TRUE, MMULT(--('Name Mapping'!H:AD=D320), TRANSPOSE(COLUMN('Name Mapping'!H:AD)^0)) &gt; 0, 0)),
      "")
)</f>
        <v>Empty Row</v>
      </c>
      <c r="D320" t="str">
        <f>IF(RawDataTable[[#This Row],[Account Name and Number]]&lt;&gt;"", RawDataTable[[#This Row],[Account Name and Number]], "Empty Row")</f>
        <v>Empty Row</v>
      </c>
      <c r="E320" s="28" t="str">
        <f>IF(D320="Empty Row", "Empty Row",
   _xlfn.LET(
       _xlpm.lookupResult, _xlfn.XLOOKUP(D320, RawDataTable[Account Name and Number], RawDataTable[Investment Date], "MISSING VALUE"),
       IF(ISNUMBER(_xlpm.lookupResult), _xlpm.lookupResult, "INVALID VALUE")
   )
)</f>
        <v>Empty Row</v>
      </c>
      <c r="F320" s="29" t="str">
        <f>IF(D320="Empty Row", "Empty Row",
   _xlfn.LET(
       _xlpm.lookupResult, _xlfn.XLOOKUP(D320, RawDataTable[Account Name and Number], RawDataTable[Investment Amount], "MISSING VALUE"),
       IF(ISNUMBER(_xlpm.lookupResult), _xlpm.lookupResult, "INVALID VALUE")
   )
)</f>
        <v>Empty Row</v>
      </c>
      <c r="G320" s="28" t="str">
        <f t="shared" ca="1" si="4"/>
        <v>Empty Row</v>
      </c>
      <c r="H320" s="29" t="str">
        <f>IF(D320="Empty Row", "Empty Row",
   _xlfn.LET(
       _xlpm.lookupResult, _xlfn.XLOOKUP(D320, RawDataTable[Account Name and Number], RawDataTable[Valuation Amount], "MISSING VALUE"),
       IF(ISNUMBER(_xlpm.lookupResult), _xlpm.lookupResult, "INVALID VALUE")
   )
)</f>
        <v>Empty Row</v>
      </c>
      <c r="I320" s="2" t="str">
        <f>IF(D320="Empty Row", "Empty Row", IF(_xlfn.XLOOKUP(B320, MasterTable[IRA Custodian], MasterTable[Address], "")="", "NO STREET NAME FOUND", _xlfn.XLOOKUP(B320, MasterTable[IRA Custodian], MasterTable[Address], "")))</f>
        <v>Empty Row</v>
      </c>
      <c r="J320" s="2" t="str">
        <f>IF(D320="Empty Row", "Empty Row",
   IF(OR(
       _xlfn.XLOOKUP(B320, MasterTable[IRA Custodian], MasterTable[City], "")="",
       _xlfn.XLOOKUP(B320, MasterTable[IRA Custodian], MasterTable[State], "")="",
       _xlfn.XLOOKUP(B320, MasterTable[IRA Custodian], MasterTable[Zip], "")=""),
       "INCOMPLETE ADDRESS",
       _xlfn.CONCAT(
           _xlfn.XLOOKUP(B320, MasterTable[IRA Custodian], MasterTable[City], ""), ", ",
           _xlfn.XLOOKUP(B320, MasterTable[IRA Custodian], MasterTable[State], ""), " ",
           _xlfn.XLOOKUP(B320, MasterTable[IRA Custodian], MasterTable[Zip], "")
       )
   )
)</f>
        <v>Empty Row</v>
      </c>
    </row>
    <row r="321" spans="1:10" x14ac:dyDescent="0.25">
      <c r="A321" t="str">
        <f>IF(D321="Empty Row", "Empty Row",
   _xlfn.LET(
       _xlpm.lookupResult, _xlfn.XLOOKUP(D321, RawDataTable[Account Name and Number], RawDataTable[Entity], "RAW DATA MISSING"),
       IF(ISBLANK(_xlpm.lookupResult), "RAW DATA MISSING", _xlpm.lookupResult)
   )
)</f>
        <v>Empty Row</v>
      </c>
      <c r="B321" t="str">
        <f>IF(D321="Empty Row", "Empty Row",
   _xlfn.LET(
       _xlpm.rawDataLookup, _xlfn.XLOOKUP(D321,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21" s="56" t="str" cm="1">
        <f t="array" ref="C321">IF(D321="Empty Row", "Empty Row",
   IF(COUNTIF('Name Mapping'!H:AD, D321) &gt; 0,
      INDEX('Name Mapping'!F:F, MATCH(TRUE, MMULT(--('Name Mapping'!H:AD=D321), TRANSPOSE(COLUMN('Name Mapping'!H:AD)^0)) &gt; 0, 0)),
      "")
)</f>
        <v>Empty Row</v>
      </c>
      <c r="D321" t="str">
        <f>IF(RawDataTable[[#This Row],[Account Name and Number]]&lt;&gt;"", RawDataTable[[#This Row],[Account Name and Number]], "Empty Row")</f>
        <v>Empty Row</v>
      </c>
      <c r="E321" s="28" t="str">
        <f>IF(D321="Empty Row", "Empty Row",
   _xlfn.LET(
       _xlpm.lookupResult, _xlfn.XLOOKUP(D321, RawDataTable[Account Name and Number], RawDataTable[Investment Date], "MISSING VALUE"),
       IF(ISNUMBER(_xlpm.lookupResult), _xlpm.lookupResult, "INVALID VALUE")
   )
)</f>
        <v>Empty Row</v>
      </c>
      <c r="F321" s="29" t="str">
        <f>IF(D321="Empty Row", "Empty Row",
   _xlfn.LET(
       _xlpm.lookupResult, _xlfn.XLOOKUP(D321, RawDataTable[Account Name and Number], RawDataTable[Investment Amount], "MISSING VALUE"),
       IF(ISNUMBER(_xlpm.lookupResult), _xlpm.lookupResult, "INVALID VALUE")
   )
)</f>
        <v>Empty Row</v>
      </c>
      <c r="G321" s="28" t="str">
        <f t="shared" ca="1" si="4"/>
        <v>Empty Row</v>
      </c>
      <c r="H321" s="29" t="str">
        <f>IF(D321="Empty Row", "Empty Row",
   _xlfn.LET(
       _xlpm.lookupResult, _xlfn.XLOOKUP(D321, RawDataTable[Account Name and Number], RawDataTable[Valuation Amount], "MISSING VALUE"),
       IF(ISNUMBER(_xlpm.lookupResult), _xlpm.lookupResult, "INVALID VALUE")
   )
)</f>
        <v>Empty Row</v>
      </c>
      <c r="I321" s="2" t="str">
        <f>IF(D321="Empty Row", "Empty Row", IF(_xlfn.XLOOKUP(B321, MasterTable[IRA Custodian], MasterTable[Address], "")="", "NO STREET NAME FOUND", _xlfn.XLOOKUP(B321, MasterTable[IRA Custodian], MasterTable[Address], "")))</f>
        <v>Empty Row</v>
      </c>
      <c r="J321" s="2" t="str">
        <f>IF(D321="Empty Row", "Empty Row",
   IF(OR(
       _xlfn.XLOOKUP(B321, MasterTable[IRA Custodian], MasterTable[City], "")="",
       _xlfn.XLOOKUP(B321, MasterTable[IRA Custodian], MasterTable[State], "")="",
       _xlfn.XLOOKUP(B321, MasterTable[IRA Custodian], MasterTable[Zip], "")=""),
       "INCOMPLETE ADDRESS",
       _xlfn.CONCAT(
           _xlfn.XLOOKUP(B321, MasterTable[IRA Custodian], MasterTable[City], ""), ", ",
           _xlfn.XLOOKUP(B321, MasterTable[IRA Custodian], MasterTable[State], ""), " ",
           _xlfn.XLOOKUP(B321, MasterTable[IRA Custodian], MasterTable[Zip], "")
       )
   )
)</f>
        <v>Empty Row</v>
      </c>
    </row>
    <row r="322" spans="1:10" x14ac:dyDescent="0.25">
      <c r="A322" t="str">
        <f>IF(D322="Empty Row", "Empty Row",
   _xlfn.LET(
       _xlpm.lookupResult, _xlfn.XLOOKUP(D322, RawDataTable[Account Name and Number], RawDataTable[Entity], "RAW DATA MISSING"),
       IF(ISBLANK(_xlpm.lookupResult), "RAW DATA MISSING", _xlpm.lookupResult)
   )
)</f>
        <v>Empty Row</v>
      </c>
      <c r="B322" t="str">
        <f>IF(D322="Empty Row", "Empty Row",
   _xlfn.LET(
       _xlpm.rawDataLookup, _xlfn.XLOOKUP(D322,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22" s="56" t="str" cm="1">
        <f t="array" ref="C322">IF(D322="Empty Row", "Empty Row",
   IF(COUNTIF('Name Mapping'!H:AD, D322) &gt; 0,
      INDEX('Name Mapping'!F:F, MATCH(TRUE, MMULT(--('Name Mapping'!H:AD=D322), TRANSPOSE(COLUMN('Name Mapping'!H:AD)^0)) &gt; 0, 0)),
      "")
)</f>
        <v>Empty Row</v>
      </c>
      <c r="D322" t="str">
        <f>IF(RawDataTable[[#This Row],[Account Name and Number]]&lt;&gt;"", RawDataTable[[#This Row],[Account Name and Number]], "Empty Row")</f>
        <v>Empty Row</v>
      </c>
      <c r="E322" s="28" t="str">
        <f>IF(D322="Empty Row", "Empty Row",
   _xlfn.LET(
       _xlpm.lookupResult, _xlfn.XLOOKUP(D322, RawDataTable[Account Name and Number], RawDataTable[Investment Date], "MISSING VALUE"),
       IF(ISNUMBER(_xlpm.lookupResult), _xlpm.lookupResult, "INVALID VALUE")
   )
)</f>
        <v>Empty Row</v>
      </c>
      <c r="F322" s="29" t="str">
        <f>IF(D322="Empty Row", "Empty Row",
   _xlfn.LET(
       _xlpm.lookupResult, _xlfn.XLOOKUP(D322, RawDataTable[Account Name and Number], RawDataTable[Investment Amount], "MISSING VALUE"),
       IF(ISNUMBER(_xlpm.lookupResult), _xlpm.lookupResult, "INVALID VALUE")
   )
)</f>
        <v>Empty Row</v>
      </c>
      <c r="G322" s="28" t="str">
        <f t="shared" ca="1" si="4"/>
        <v>Empty Row</v>
      </c>
      <c r="H322" s="29" t="str">
        <f>IF(D322="Empty Row", "Empty Row",
   _xlfn.LET(
       _xlpm.lookupResult, _xlfn.XLOOKUP(D322, RawDataTable[Account Name and Number], RawDataTable[Valuation Amount], "MISSING VALUE"),
       IF(ISNUMBER(_xlpm.lookupResult), _xlpm.lookupResult, "INVALID VALUE")
   )
)</f>
        <v>Empty Row</v>
      </c>
      <c r="I322" s="2" t="str">
        <f>IF(D322="Empty Row", "Empty Row", IF(_xlfn.XLOOKUP(B322, MasterTable[IRA Custodian], MasterTable[Address], "")="", "NO STREET NAME FOUND", _xlfn.XLOOKUP(B322, MasterTable[IRA Custodian], MasterTable[Address], "")))</f>
        <v>Empty Row</v>
      </c>
      <c r="J322" s="2" t="str">
        <f>IF(D322="Empty Row", "Empty Row",
   IF(OR(
       _xlfn.XLOOKUP(B322, MasterTable[IRA Custodian], MasterTable[City], "")="",
       _xlfn.XLOOKUP(B322, MasterTable[IRA Custodian], MasterTable[State], "")="",
       _xlfn.XLOOKUP(B322, MasterTable[IRA Custodian], MasterTable[Zip], "")=""),
       "INCOMPLETE ADDRESS",
       _xlfn.CONCAT(
           _xlfn.XLOOKUP(B322, MasterTable[IRA Custodian], MasterTable[City], ""), ", ",
           _xlfn.XLOOKUP(B322, MasterTable[IRA Custodian], MasterTable[State], ""), " ",
           _xlfn.XLOOKUP(B322, MasterTable[IRA Custodian], MasterTable[Zip], "")
       )
   )
)</f>
        <v>Empty Row</v>
      </c>
    </row>
    <row r="323" spans="1:10" x14ac:dyDescent="0.25">
      <c r="A323" t="str">
        <f>IF(D323="Empty Row", "Empty Row",
   _xlfn.LET(
       _xlpm.lookupResult, _xlfn.XLOOKUP(D323, RawDataTable[Account Name and Number], RawDataTable[Entity], "RAW DATA MISSING"),
       IF(ISBLANK(_xlpm.lookupResult), "RAW DATA MISSING", _xlpm.lookupResult)
   )
)</f>
        <v>Empty Row</v>
      </c>
      <c r="B323" t="str">
        <f>IF(D323="Empty Row", "Empty Row",
   _xlfn.LET(
       _xlpm.rawDataLookup, _xlfn.XLOOKUP(D323,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23" s="56" t="str" cm="1">
        <f t="array" ref="C323">IF(D323="Empty Row", "Empty Row",
   IF(COUNTIF('Name Mapping'!H:AD, D323) &gt; 0,
      INDEX('Name Mapping'!F:F, MATCH(TRUE, MMULT(--('Name Mapping'!H:AD=D323), TRANSPOSE(COLUMN('Name Mapping'!H:AD)^0)) &gt; 0, 0)),
      "")
)</f>
        <v>Empty Row</v>
      </c>
      <c r="D323" t="str">
        <f>IF(RawDataTable[[#This Row],[Account Name and Number]]&lt;&gt;"", RawDataTable[[#This Row],[Account Name and Number]], "Empty Row")</f>
        <v>Empty Row</v>
      </c>
      <c r="E323" s="28" t="str">
        <f>IF(D323="Empty Row", "Empty Row",
   _xlfn.LET(
       _xlpm.lookupResult, _xlfn.XLOOKUP(D323, RawDataTable[Account Name and Number], RawDataTable[Investment Date], "MISSING VALUE"),
       IF(ISNUMBER(_xlpm.lookupResult), _xlpm.lookupResult, "INVALID VALUE")
   )
)</f>
        <v>Empty Row</v>
      </c>
      <c r="F323" s="29" t="str">
        <f>IF(D323="Empty Row", "Empty Row",
   _xlfn.LET(
       _xlpm.lookupResult, _xlfn.XLOOKUP(D323, RawDataTable[Account Name and Number], RawDataTable[Investment Amount], "MISSING VALUE"),
       IF(ISNUMBER(_xlpm.lookupResult), _xlpm.lookupResult, "INVALID VALUE")
   )
)</f>
        <v>Empty Row</v>
      </c>
      <c r="G323" s="28" t="str">
        <f t="shared" ref="G323:G386" ca="1" si="5">IF(D323="Empty Row", "Empty Row",
   IF(ISNUMBER(TODAY()), TODAY(), "INVALID VALUE")
)</f>
        <v>Empty Row</v>
      </c>
      <c r="H323" s="29" t="str">
        <f>IF(D323="Empty Row", "Empty Row",
   _xlfn.LET(
       _xlpm.lookupResult, _xlfn.XLOOKUP(D323, RawDataTable[Account Name and Number], RawDataTable[Valuation Amount], "MISSING VALUE"),
       IF(ISNUMBER(_xlpm.lookupResult), _xlpm.lookupResult, "INVALID VALUE")
   )
)</f>
        <v>Empty Row</v>
      </c>
      <c r="I323" s="2" t="str">
        <f>IF(D323="Empty Row", "Empty Row", IF(_xlfn.XLOOKUP(B323, MasterTable[IRA Custodian], MasterTable[Address], "")="", "NO STREET NAME FOUND", _xlfn.XLOOKUP(B323, MasterTable[IRA Custodian], MasterTable[Address], "")))</f>
        <v>Empty Row</v>
      </c>
      <c r="J323" s="2" t="str">
        <f>IF(D323="Empty Row", "Empty Row",
   IF(OR(
       _xlfn.XLOOKUP(B323, MasterTable[IRA Custodian], MasterTable[City], "")="",
       _xlfn.XLOOKUP(B323, MasterTable[IRA Custodian], MasterTable[State], "")="",
       _xlfn.XLOOKUP(B323, MasterTable[IRA Custodian], MasterTable[Zip], "")=""),
       "INCOMPLETE ADDRESS",
       _xlfn.CONCAT(
           _xlfn.XLOOKUP(B323, MasterTable[IRA Custodian], MasterTable[City], ""), ", ",
           _xlfn.XLOOKUP(B323, MasterTable[IRA Custodian], MasterTable[State], ""), " ",
           _xlfn.XLOOKUP(B323, MasterTable[IRA Custodian], MasterTable[Zip], "")
       )
   )
)</f>
        <v>Empty Row</v>
      </c>
    </row>
    <row r="324" spans="1:10" x14ac:dyDescent="0.25">
      <c r="A324" t="str">
        <f>IF(D324="Empty Row", "Empty Row",
   _xlfn.LET(
       _xlpm.lookupResult, _xlfn.XLOOKUP(D324, RawDataTable[Account Name and Number], RawDataTable[Entity], "RAW DATA MISSING"),
       IF(ISBLANK(_xlpm.lookupResult), "RAW DATA MISSING", _xlpm.lookupResult)
   )
)</f>
        <v>Empty Row</v>
      </c>
      <c r="B324" t="str">
        <f>IF(D324="Empty Row", "Empty Row",
   _xlfn.LET(
       _xlpm.rawDataLookup, _xlfn.XLOOKUP(D324,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24" s="56" t="str" cm="1">
        <f t="array" ref="C324">IF(D324="Empty Row", "Empty Row",
   IF(COUNTIF('Name Mapping'!H:AD, D324) &gt; 0,
      INDEX('Name Mapping'!F:F, MATCH(TRUE, MMULT(--('Name Mapping'!H:AD=D324), TRANSPOSE(COLUMN('Name Mapping'!H:AD)^0)) &gt; 0, 0)),
      "")
)</f>
        <v>Empty Row</v>
      </c>
      <c r="D324" t="str">
        <f>IF(RawDataTable[[#This Row],[Account Name and Number]]&lt;&gt;"", RawDataTable[[#This Row],[Account Name and Number]], "Empty Row")</f>
        <v>Empty Row</v>
      </c>
      <c r="E324" s="28" t="str">
        <f>IF(D324="Empty Row", "Empty Row",
   _xlfn.LET(
       _xlpm.lookupResult, _xlfn.XLOOKUP(D324, RawDataTable[Account Name and Number], RawDataTable[Investment Date], "MISSING VALUE"),
       IF(ISNUMBER(_xlpm.lookupResult), _xlpm.lookupResult, "INVALID VALUE")
   )
)</f>
        <v>Empty Row</v>
      </c>
      <c r="F324" s="29" t="str">
        <f>IF(D324="Empty Row", "Empty Row",
   _xlfn.LET(
       _xlpm.lookupResult, _xlfn.XLOOKUP(D324, RawDataTable[Account Name and Number], RawDataTable[Investment Amount], "MISSING VALUE"),
       IF(ISNUMBER(_xlpm.lookupResult), _xlpm.lookupResult, "INVALID VALUE")
   )
)</f>
        <v>Empty Row</v>
      </c>
      <c r="G324" s="28" t="str">
        <f t="shared" ca="1" si="5"/>
        <v>Empty Row</v>
      </c>
      <c r="H324" s="29" t="str">
        <f>IF(D324="Empty Row", "Empty Row",
   _xlfn.LET(
       _xlpm.lookupResult, _xlfn.XLOOKUP(D324, RawDataTable[Account Name and Number], RawDataTable[Valuation Amount], "MISSING VALUE"),
       IF(ISNUMBER(_xlpm.lookupResult), _xlpm.lookupResult, "INVALID VALUE")
   )
)</f>
        <v>Empty Row</v>
      </c>
      <c r="I324" s="2" t="str">
        <f>IF(D324="Empty Row", "Empty Row", IF(_xlfn.XLOOKUP(B324, MasterTable[IRA Custodian], MasterTable[Address], "")="", "NO STREET NAME FOUND", _xlfn.XLOOKUP(B324, MasterTable[IRA Custodian], MasterTable[Address], "")))</f>
        <v>Empty Row</v>
      </c>
      <c r="J324" s="2" t="str">
        <f>IF(D324="Empty Row", "Empty Row",
   IF(OR(
       _xlfn.XLOOKUP(B324, MasterTable[IRA Custodian], MasterTable[City], "")="",
       _xlfn.XLOOKUP(B324, MasterTable[IRA Custodian], MasterTable[State], "")="",
       _xlfn.XLOOKUP(B324, MasterTable[IRA Custodian], MasterTable[Zip], "")=""),
       "INCOMPLETE ADDRESS",
       _xlfn.CONCAT(
           _xlfn.XLOOKUP(B324, MasterTable[IRA Custodian], MasterTable[City], ""), ", ",
           _xlfn.XLOOKUP(B324, MasterTable[IRA Custodian], MasterTable[State], ""), " ",
           _xlfn.XLOOKUP(B324, MasterTable[IRA Custodian], MasterTable[Zip], "")
       )
   )
)</f>
        <v>Empty Row</v>
      </c>
    </row>
    <row r="325" spans="1:10" x14ac:dyDescent="0.25">
      <c r="A325" t="str">
        <f>IF(D325="Empty Row", "Empty Row",
   _xlfn.LET(
       _xlpm.lookupResult, _xlfn.XLOOKUP(D325, RawDataTable[Account Name and Number], RawDataTable[Entity], "RAW DATA MISSING"),
       IF(ISBLANK(_xlpm.lookupResult), "RAW DATA MISSING", _xlpm.lookupResult)
   )
)</f>
        <v>Empty Row</v>
      </c>
      <c r="B325" t="str">
        <f>IF(D325="Empty Row", "Empty Row",
   _xlfn.LET(
       _xlpm.rawDataLookup, _xlfn.XLOOKUP(D325,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25" s="56" t="str" cm="1">
        <f t="array" ref="C325">IF(D325="Empty Row", "Empty Row",
   IF(COUNTIF('Name Mapping'!H:AD, D325) &gt; 0,
      INDEX('Name Mapping'!F:F, MATCH(TRUE, MMULT(--('Name Mapping'!H:AD=D325), TRANSPOSE(COLUMN('Name Mapping'!H:AD)^0)) &gt; 0, 0)),
      "")
)</f>
        <v>Empty Row</v>
      </c>
      <c r="D325" t="str">
        <f>IF(RawDataTable[[#This Row],[Account Name and Number]]&lt;&gt;"", RawDataTable[[#This Row],[Account Name and Number]], "Empty Row")</f>
        <v>Empty Row</v>
      </c>
      <c r="E325" s="28" t="str">
        <f>IF(D325="Empty Row", "Empty Row",
   _xlfn.LET(
       _xlpm.lookupResult, _xlfn.XLOOKUP(D325, RawDataTable[Account Name and Number], RawDataTable[Investment Date], "MISSING VALUE"),
       IF(ISNUMBER(_xlpm.lookupResult), _xlpm.lookupResult, "INVALID VALUE")
   )
)</f>
        <v>Empty Row</v>
      </c>
      <c r="F325" s="29" t="str">
        <f>IF(D325="Empty Row", "Empty Row",
   _xlfn.LET(
       _xlpm.lookupResult, _xlfn.XLOOKUP(D325, RawDataTable[Account Name and Number], RawDataTable[Investment Amount], "MISSING VALUE"),
       IF(ISNUMBER(_xlpm.lookupResult), _xlpm.lookupResult, "INVALID VALUE")
   )
)</f>
        <v>Empty Row</v>
      </c>
      <c r="G325" s="28" t="str">
        <f t="shared" ca="1" si="5"/>
        <v>Empty Row</v>
      </c>
      <c r="H325" s="29" t="str">
        <f>IF(D325="Empty Row", "Empty Row",
   _xlfn.LET(
       _xlpm.lookupResult, _xlfn.XLOOKUP(D325, RawDataTable[Account Name and Number], RawDataTable[Valuation Amount], "MISSING VALUE"),
       IF(ISNUMBER(_xlpm.lookupResult), _xlpm.lookupResult, "INVALID VALUE")
   )
)</f>
        <v>Empty Row</v>
      </c>
      <c r="I325" s="2" t="str">
        <f>IF(D325="Empty Row", "Empty Row", IF(_xlfn.XLOOKUP(B325, MasterTable[IRA Custodian], MasterTable[Address], "")="", "NO STREET NAME FOUND", _xlfn.XLOOKUP(B325, MasterTable[IRA Custodian], MasterTable[Address], "")))</f>
        <v>Empty Row</v>
      </c>
      <c r="J325" s="2" t="str">
        <f>IF(D325="Empty Row", "Empty Row",
   IF(OR(
       _xlfn.XLOOKUP(B325, MasterTable[IRA Custodian], MasterTable[City], "")="",
       _xlfn.XLOOKUP(B325, MasterTable[IRA Custodian], MasterTable[State], "")="",
       _xlfn.XLOOKUP(B325, MasterTable[IRA Custodian], MasterTable[Zip], "")=""),
       "INCOMPLETE ADDRESS",
       _xlfn.CONCAT(
           _xlfn.XLOOKUP(B325, MasterTable[IRA Custodian], MasterTable[City], ""), ", ",
           _xlfn.XLOOKUP(B325, MasterTable[IRA Custodian], MasterTable[State], ""), " ",
           _xlfn.XLOOKUP(B325, MasterTable[IRA Custodian], MasterTable[Zip], "")
       )
   )
)</f>
        <v>Empty Row</v>
      </c>
    </row>
    <row r="326" spans="1:10" x14ac:dyDescent="0.25">
      <c r="A326" t="str">
        <f>IF(D326="Empty Row", "Empty Row",
   _xlfn.LET(
       _xlpm.lookupResult, _xlfn.XLOOKUP(D326, RawDataTable[Account Name and Number], RawDataTable[Entity], "RAW DATA MISSING"),
       IF(ISBLANK(_xlpm.lookupResult), "RAW DATA MISSING", _xlpm.lookupResult)
   )
)</f>
        <v>Empty Row</v>
      </c>
      <c r="B326" t="str">
        <f>IF(D326="Empty Row", "Empty Row",
   _xlfn.LET(
       _xlpm.rawDataLookup, _xlfn.XLOOKUP(D326,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26" s="56" t="str" cm="1">
        <f t="array" ref="C326">IF(D326="Empty Row", "Empty Row",
   IF(COUNTIF('Name Mapping'!H:AD, D326) &gt; 0,
      INDEX('Name Mapping'!F:F, MATCH(TRUE, MMULT(--('Name Mapping'!H:AD=D326), TRANSPOSE(COLUMN('Name Mapping'!H:AD)^0)) &gt; 0, 0)),
      "")
)</f>
        <v>Empty Row</v>
      </c>
      <c r="D326" t="str">
        <f>IF(RawDataTable[[#This Row],[Account Name and Number]]&lt;&gt;"", RawDataTable[[#This Row],[Account Name and Number]], "Empty Row")</f>
        <v>Empty Row</v>
      </c>
      <c r="E326" s="28" t="str">
        <f>IF(D326="Empty Row", "Empty Row",
   _xlfn.LET(
       _xlpm.lookupResult, _xlfn.XLOOKUP(D326, RawDataTable[Account Name and Number], RawDataTable[Investment Date], "MISSING VALUE"),
       IF(ISNUMBER(_xlpm.lookupResult), _xlpm.lookupResult, "INVALID VALUE")
   )
)</f>
        <v>Empty Row</v>
      </c>
      <c r="F326" s="29" t="str">
        <f>IF(D326="Empty Row", "Empty Row",
   _xlfn.LET(
       _xlpm.lookupResult, _xlfn.XLOOKUP(D326, RawDataTable[Account Name and Number], RawDataTable[Investment Amount], "MISSING VALUE"),
       IF(ISNUMBER(_xlpm.lookupResult), _xlpm.lookupResult, "INVALID VALUE")
   )
)</f>
        <v>Empty Row</v>
      </c>
      <c r="G326" s="28" t="str">
        <f t="shared" ca="1" si="5"/>
        <v>Empty Row</v>
      </c>
      <c r="H326" s="29" t="str">
        <f>IF(D326="Empty Row", "Empty Row",
   _xlfn.LET(
       _xlpm.lookupResult, _xlfn.XLOOKUP(D326, RawDataTable[Account Name and Number], RawDataTable[Valuation Amount], "MISSING VALUE"),
       IF(ISNUMBER(_xlpm.lookupResult), _xlpm.lookupResult, "INVALID VALUE")
   )
)</f>
        <v>Empty Row</v>
      </c>
      <c r="I326" s="2" t="str">
        <f>IF(D326="Empty Row", "Empty Row", IF(_xlfn.XLOOKUP(B326, MasterTable[IRA Custodian], MasterTable[Address], "")="", "NO STREET NAME FOUND", _xlfn.XLOOKUP(B326, MasterTable[IRA Custodian], MasterTable[Address], "")))</f>
        <v>Empty Row</v>
      </c>
      <c r="J326" s="2" t="str">
        <f>IF(D326="Empty Row", "Empty Row",
   IF(OR(
       _xlfn.XLOOKUP(B326, MasterTable[IRA Custodian], MasterTable[City], "")="",
       _xlfn.XLOOKUP(B326, MasterTable[IRA Custodian], MasterTable[State], "")="",
       _xlfn.XLOOKUP(B326, MasterTable[IRA Custodian], MasterTable[Zip], "")=""),
       "INCOMPLETE ADDRESS",
       _xlfn.CONCAT(
           _xlfn.XLOOKUP(B326, MasterTable[IRA Custodian], MasterTable[City], ""), ", ",
           _xlfn.XLOOKUP(B326, MasterTable[IRA Custodian], MasterTable[State], ""), " ",
           _xlfn.XLOOKUP(B326, MasterTable[IRA Custodian], MasterTable[Zip], "")
       )
   )
)</f>
        <v>Empty Row</v>
      </c>
    </row>
    <row r="327" spans="1:10" x14ac:dyDescent="0.25">
      <c r="A327" t="str">
        <f>IF(D327="Empty Row", "Empty Row",
   _xlfn.LET(
       _xlpm.lookupResult, _xlfn.XLOOKUP(D327, RawDataTable[Account Name and Number], RawDataTable[Entity], "RAW DATA MISSING"),
       IF(ISBLANK(_xlpm.lookupResult), "RAW DATA MISSING", _xlpm.lookupResult)
   )
)</f>
        <v>Empty Row</v>
      </c>
      <c r="B327" t="str">
        <f>IF(D327="Empty Row", "Empty Row",
   _xlfn.LET(
       _xlpm.rawDataLookup, _xlfn.XLOOKUP(D327,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27" s="56" t="str" cm="1">
        <f t="array" ref="C327">IF(D327="Empty Row", "Empty Row",
   IF(COUNTIF('Name Mapping'!H:AD, D327) &gt; 0,
      INDEX('Name Mapping'!F:F, MATCH(TRUE, MMULT(--('Name Mapping'!H:AD=D327), TRANSPOSE(COLUMN('Name Mapping'!H:AD)^0)) &gt; 0, 0)),
      "")
)</f>
        <v>Empty Row</v>
      </c>
      <c r="D327" t="str">
        <f>IF(RawDataTable[[#This Row],[Account Name and Number]]&lt;&gt;"", RawDataTable[[#This Row],[Account Name and Number]], "Empty Row")</f>
        <v>Empty Row</v>
      </c>
      <c r="E327" s="28" t="str">
        <f>IF(D327="Empty Row", "Empty Row",
   _xlfn.LET(
       _xlpm.lookupResult, _xlfn.XLOOKUP(D327, RawDataTable[Account Name and Number], RawDataTable[Investment Date], "MISSING VALUE"),
       IF(ISNUMBER(_xlpm.lookupResult), _xlpm.lookupResult, "INVALID VALUE")
   )
)</f>
        <v>Empty Row</v>
      </c>
      <c r="F327" s="29" t="str">
        <f>IF(D327="Empty Row", "Empty Row",
   _xlfn.LET(
       _xlpm.lookupResult, _xlfn.XLOOKUP(D327, RawDataTable[Account Name and Number], RawDataTable[Investment Amount], "MISSING VALUE"),
       IF(ISNUMBER(_xlpm.lookupResult), _xlpm.lookupResult, "INVALID VALUE")
   )
)</f>
        <v>Empty Row</v>
      </c>
      <c r="G327" s="28" t="str">
        <f t="shared" ca="1" si="5"/>
        <v>Empty Row</v>
      </c>
      <c r="H327" s="29" t="str">
        <f>IF(D327="Empty Row", "Empty Row",
   _xlfn.LET(
       _xlpm.lookupResult, _xlfn.XLOOKUP(D327, RawDataTable[Account Name and Number], RawDataTable[Valuation Amount], "MISSING VALUE"),
       IF(ISNUMBER(_xlpm.lookupResult), _xlpm.lookupResult, "INVALID VALUE")
   )
)</f>
        <v>Empty Row</v>
      </c>
      <c r="I327" s="2" t="str">
        <f>IF(D327="Empty Row", "Empty Row", IF(_xlfn.XLOOKUP(B327, MasterTable[IRA Custodian], MasterTable[Address], "")="", "NO STREET NAME FOUND", _xlfn.XLOOKUP(B327, MasterTable[IRA Custodian], MasterTable[Address], "")))</f>
        <v>Empty Row</v>
      </c>
      <c r="J327" s="2" t="str">
        <f>IF(D327="Empty Row", "Empty Row",
   IF(OR(
       _xlfn.XLOOKUP(B327, MasterTable[IRA Custodian], MasterTable[City], "")="",
       _xlfn.XLOOKUP(B327, MasterTable[IRA Custodian], MasterTable[State], "")="",
       _xlfn.XLOOKUP(B327, MasterTable[IRA Custodian], MasterTable[Zip], "")=""),
       "INCOMPLETE ADDRESS",
       _xlfn.CONCAT(
           _xlfn.XLOOKUP(B327, MasterTable[IRA Custodian], MasterTable[City], ""), ", ",
           _xlfn.XLOOKUP(B327, MasterTable[IRA Custodian], MasterTable[State], ""), " ",
           _xlfn.XLOOKUP(B327, MasterTable[IRA Custodian], MasterTable[Zip], "")
       )
   )
)</f>
        <v>Empty Row</v>
      </c>
    </row>
    <row r="328" spans="1:10" x14ac:dyDescent="0.25">
      <c r="A328" t="str">
        <f>IF(D328="Empty Row", "Empty Row",
   _xlfn.LET(
       _xlpm.lookupResult, _xlfn.XLOOKUP(D328, RawDataTable[Account Name and Number], RawDataTable[Entity], "RAW DATA MISSING"),
       IF(ISBLANK(_xlpm.lookupResult), "RAW DATA MISSING", _xlpm.lookupResult)
   )
)</f>
        <v>Empty Row</v>
      </c>
      <c r="B328" t="str">
        <f>IF(D328="Empty Row", "Empty Row",
   _xlfn.LET(
       _xlpm.rawDataLookup, _xlfn.XLOOKUP(D328,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28" s="56" t="str" cm="1">
        <f t="array" ref="C328">IF(D328="Empty Row", "Empty Row",
   IF(COUNTIF('Name Mapping'!H:AD, D328) &gt; 0,
      INDEX('Name Mapping'!F:F, MATCH(TRUE, MMULT(--('Name Mapping'!H:AD=D328), TRANSPOSE(COLUMN('Name Mapping'!H:AD)^0)) &gt; 0, 0)),
      "")
)</f>
        <v>Empty Row</v>
      </c>
      <c r="D328" t="str">
        <f>IF(RawDataTable[[#This Row],[Account Name and Number]]&lt;&gt;"", RawDataTable[[#This Row],[Account Name and Number]], "Empty Row")</f>
        <v>Empty Row</v>
      </c>
      <c r="E328" s="28" t="str">
        <f>IF(D328="Empty Row", "Empty Row",
   _xlfn.LET(
       _xlpm.lookupResult, _xlfn.XLOOKUP(D328, RawDataTable[Account Name and Number], RawDataTable[Investment Date], "MISSING VALUE"),
       IF(ISNUMBER(_xlpm.lookupResult), _xlpm.lookupResult, "INVALID VALUE")
   )
)</f>
        <v>Empty Row</v>
      </c>
      <c r="F328" s="29" t="str">
        <f>IF(D328="Empty Row", "Empty Row",
   _xlfn.LET(
       _xlpm.lookupResult, _xlfn.XLOOKUP(D328, RawDataTable[Account Name and Number], RawDataTable[Investment Amount], "MISSING VALUE"),
       IF(ISNUMBER(_xlpm.lookupResult), _xlpm.lookupResult, "INVALID VALUE")
   )
)</f>
        <v>Empty Row</v>
      </c>
      <c r="G328" s="28" t="str">
        <f t="shared" ca="1" si="5"/>
        <v>Empty Row</v>
      </c>
      <c r="H328" s="29" t="str">
        <f>IF(D328="Empty Row", "Empty Row",
   _xlfn.LET(
       _xlpm.lookupResult, _xlfn.XLOOKUP(D328, RawDataTable[Account Name and Number], RawDataTable[Valuation Amount], "MISSING VALUE"),
       IF(ISNUMBER(_xlpm.lookupResult), _xlpm.lookupResult, "INVALID VALUE")
   )
)</f>
        <v>Empty Row</v>
      </c>
      <c r="I328" s="2" t="str">
        <f>IF(D328="Empty Row", "Empty Row", IF(_xlfn.XLOOKUP(B328, MasterTable[IRA Custodian], MasterTable[Address], "")="", "NO STREET NAME FOUND", _xlfn.XLOOKUP(B328, MasterTable[IRA Custodian], MasterTable[Address], "")))</f>
        <v>Empty Row</v>
      </c>
      <c r="J328" s="2" t="str">
        <f>IF(D328="Empty Row", "Empty Row",
   IF(OR(
       _xlfn.XLOOKUP(B328, MasterTable[IRA Custodian], MasterTable[City], "")="",
       _xlfn.XLOOKUP(B328, MasterTable[IRA Custodian], MasterTable[State], "")="",
       _xlfn.XLOOKUP(B328, MasterTable[IRA Custodian], MasterTable[Zip], "")=""),
       "INCOMPLETE ADDRESS",
       _xlfn.CONCAT(
           _xlfn.XLOOKUP(B328, MasterTable[IRA Custodian], MasterTable[City], ""), ", ",
           _xlfn.XLOOKUP(B328, MasterTable[IRA Custodian], MasterTable[State], ""), " ",
           _xlfn.XLOOKUP(B328, MasterTable[IRA Custodian], MasterTable[Zip], "")
       )
   )
)</f>
        <v>Empty Row</v>
      </c>
    </row>
    <row r="329" spans="1:10" x14ac:dyDescent="0.25">
      <c r="A329" t="str">
        <f>IF(D329="Empty Row", "Empty Row",
   _xlfn.LET(
       _xlpm.lookupResult, _xlfn.XLOOKUP(D329, RawDataTable[Account Name and Number], RawDataTable[Entity], "RAW DATA MISSING"),
       IF(ISBLANK(_xlpm.lookupResult), "RAW DATA MISSING", _xlpm.lookupResult)
   )
)</f>
        <v>Empty Row</v>
      </c>
      <c r="B329" t="str">
        <f>IF(D329="Empty Row", "Empty Row",
   _xlfn.LET(
       _xlpm.rawDataLookup, _xlfn.XLOOKUP(D329,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29" s="56" t="str" cm="1">
        <f t="array" ref="C329">IF(D329="Empty Row", "Empty Row",
   IF(COUNTIF('Name Mapping'!H:AD, D329) &gt; 0,
      INDEX('Name Mapping'!F:F, MATCH(TRUE, MMULT(--('Name Mapping'!H:AD=D329), TRANSPOSE(COLUMN('Name Mapping'!H:AD)^0)) &gt; 0, 0)),
      "")
)</f>
        <v>Empty Row</v>
      </c>
      <c r="D329" t="str">
        <f>IF(RawDataTable[[#This Row],[Account Name and Number]]&lt;&gt;"", RawDataTable[[#This Row],[Account Name and Number]], "Empty Row")</f>
        <v>Empty Row</v>
      </c>
      <c r="E329" s="28" t="str">
        <f>IF(D329="Empty Row", "Empty Row",
   _xlfn.LET(
       _xlpm.lookupResult, _xlfn.XLOOKUP(D329, RawDataTable[Account Name and Number], RawDataTable[Investment Date], "MISSING VALUE"),
       IF(ISNUMBER(_xlpm.lookupResult), _xlpm.lookupResult, "INVALID VALUE")
   )
)</f>
        <v>Empty Row</v>
      </c>
      <c r="F329" s="29" t="str">
        <f>IF(D329="Empty Row", "Empty Row",
   _xlfn.LET(
       _xlpm.lookupResult, _xlfn.XLOOKUP(D329, RawDataTable[Account Name and Number], RawDataTable[Investment Amount], "MISSING VALUE"),
       IF(ISNUMBER(_xlpm.lookupResult), _xlpm.lookupResult, "INVALID VALUE")
   )
)</f>
        <v>Empty Row</v>
      </c>
      <c r="G329" s="28" t="str">
        <f t="shared" ca="1" si="5"/>
        <v>Empty Row</v>
      </c>
      <c r="H329" s="29" t="str">
        <f>IF(D329="Empty Row", "Empty Row",
   _xlfn.LET(
       _xlpm.lookupResult, _xlfn.XLOOKUP(D329, RawDataTable[Account Name and Number], RawDataTable[Valuation Amount], "MISSING VALUE"),
       IF(ISNUMBER(_xlpm.lookupResult), _xlpm.lookupResult, "INVALID VALUE")
   )
)</f>
        <v>Empty Row</v>
      </c>
      <c r="I329" s="2" t="str">
        <f>IF(D329="Empty Row", "Empty Row", IF(_xlfn.XLOOKUP(B329, MasterTable[IRA Custodian], MasterTable[Address], "")="", "NO STREET NAME FOUND", _xlfn.XLOOKUP(B329, MasterTable[IRA Custodian], MasterTable[Address], "")))</f>
        <v>Empty Row</v>
      </c>
      <c r="J329" s="2" t="str">
        <f>IF(D329="Empty Row", "Empty Row",
   IF(OR(
       _xlfn.XLOOKUP(B329, MasterTable[IRA Custodian], MasterTable[City], "")="",
       _xlfn.XLOOKUP(B329, MasterTable[IRA Custodian], MasterTable[State], "")="",
       _xlfn.XLOOKUP(B329, MasterTable[IRA Custodian], MasterTable[Zip], "")=""),
       "INCOMPLETE ADDRESS",
       _xlfn.CONCAT(
           _xlfn.XLOOKUP(B329, MasterTable[IRA Custodian], MasterTable[City], ""), ", ",
           _xlfn.XLOOKUP(B329, MasterTable[IRA Custodian], MasterTable[State], ""), " ",
           _xlfn.XLOOKUP(B329, MasterTable[IRA Custodian], MasterTable[Zip], "")
       )
   )
)</f>
        <v>Empty Row</v>
      </c>
    </row>
    <row r="330" spans="1:10" x14ac:dyDescent="0.25">
      <c r="A330" t="str">
        <f>IF(D330="Empty Row", "Empty Row",
   _xlfn.LET(
       _xlpm.lookupResult, _xlfn.XLOOKUP(D330, RawDataTable[Account Name and Number], RawDataTable[Entity], "RAW DATA MISSING"),
       IF(ISBLANK(_xlpm.lookupResult), "RAW DATA MISSING", _xlpm.lookupResult)
   )
)</f>
        <v>Empty Row</v>
      </c>
      <c r="B330" t="str">
        <f>IF(D330="Empty Row", "Empty Row",
   _xlfn.LET(
       _xlpm.rawDataLookup, _xlfn.XLOOKUP(D330,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30" s="56" t="str" cm="1">
        <f t="array" ref="C330">IF(D330="Empty Row", "Empty Row",
   IF(COUNTIF('Name Mapping'!H:AD, D330) &gt; 0,
      INDEX('Name Mapping'!F:F, MATCH(TRUE, MMULT(--('Name Mapping'!H:AD=D330), TRANSPOSE(COLUMN('Name Mapping'!H:AD)^0)) &gt; 0, 0)),
      "")
)</f>
        <v>Empty Row</v>
      </c>
      <c r="D330" t="str">
        <f>IF(RawDataTable[[#This Row],[Account Name and Number]]&lt;&gt;"", RawDataTable[[#This Row],[Account Name and Number]], "Empty Row")</f>
        <v>Empty Row</v>
      </c>
      <c r="E330" s="28" t="str">
        <f>IF(D330="Empty Row", "Empty Row",
   _xlfn.LET(
       _xlpm.lookupResult, _xlfn.XLOOKUP(D330, RawDataTable[Account Name and Number], RawDataTable[Investment Date], "MISSING VALUE"),
       IF(ISNUMBER(_xlpm.lookupResult), _xlpm.lookupResult, "INVALID VALUE")
   )
)</f>
        <v>Empty Row</v>
      </c>
      <c r="F330" s="29" t="str">
        <f>IF(D330="Empty Row", "Empty Row",
   _xlfn.LET(
       _xlpm.lookupResult, _xlfn.XLOOKUP(D330, RawDataTable[Account Name and Number], RawDataTable[Investment Amount], "MISSING VALUE"),
       IF(ISNUMBER(_xlpm.lookupResult), _xlpm.lookupResult, "INVALID VALUE")
   )
)</f>
        <v>Empty Row</v>
      </c>
      <c r="G330" s="28" t="str">
        <f t="shared" ca="1" si="5"/>
        <v>Empty Row</v>
      </c>
      <c r="H330" s="29" t="str">
        <f>IF(D330="Empty Row", "Empty Row",
   _xlfn.LET(
       _xlpm.lookupResult, _xlfn.XLOOKUP(D330, RawDataTable[Account Name and Number], RawDataTable[Valuation Amount], "MISSING VALUE"),
       IF(ISNUMBER(_xlpm.lookupResult), _xlpm.lookupResult, "INVALID VALUE")
   )
)</f>
        <v>Empty Row</v>
      </c>
      <c r="I330" s="2" t="str">
        <f>IF(D330="Empty Row", "Empty Row", IF(_xlfn.XLOOKUP(B330, MasterTable[IRA Custodian], MasterTable[Address], "")="", "NO STREET NAME FOUND", _xlfn.XLOOKUP(B330, MasterTable[IRA Custodian], MasterTable[Address], "")))</f>
        <v>Empty Row</v>
      </c>
      <c r="J330" s="2" t="str">
        <f>IF(D330="Empty Row", "Empty Row",
   IF(OR(
       _xlfn.XLOOKUP(B330, MasterTable[IRA Custodian], MasterTable[City], "")="",
       _xlfn.XLOOKUP(B330, MasterTable[IRA Custodian], MasterTable[State], "")="",
       _xlfn.XLOOKUP(B330, MasterTable[IRA Custodian], MasterTable[Zip], "")=""),
       "INCOMPLETE ADDRESS",
       _xlfn.CONCAT(
           _xlfn.XLOOKUP(B330, MasterTable[IRA Custodian], MasterTable[City], ""), ", ",
           _xlfn.XLOOKUP(B330, MasterTable[IRA Custodian], MasterTable[State], ""), " ",
           _xlfn.XLOOKUP(B330, MasterTable[IRA Custodian], MasterTable[Zip], "")
       )
   )
)</f>
        <v>Empty Row</v>
      </c>
    </row>
    <row r="331" spans="1:10" x14ac:dyDescent="0.25">
      <c r="A331" t="str">
        <f>IF(D331="Empty Row", "Empty Row",
   _xlfn.LET(
       _xlpm.lookupResult, _xlfn.XLOOKUP(D331, RawDataTable[Account Name and Number], RawDataTable[Entity], "RAW DATA MISSING"),
       IF(ISBLANK(_xlpm.lookupResult), "RAW DATA MISSING", _xlpm.lookupResult)
   )
)</f>
        <v>Empty Row</v>
      </c>
      <c r="B331" t="str">
        <f>IF(D331="Empty Row", "Empty Row",
   _xlfn.LET(
       _xlpm.rawDataLookup, _xlfn.XLOOKUP(D331,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31" s="56" t="str" cm="1">
        <f t="array" ref="C331">IF(D331="Empty Row", "Empty Row",
   IF(COUNTIF('Name Mapping'!H:AD, D331) &gt; 0,
      INDEX('Name Mapping'!F:F, MATCH(TRUE, MMULT(--('Name Mapping'!H:AD=D331), TRANSPOSE(COLUMN('Name Mapping'!H:AD)^0)) &gt; 0, 0)),
      "")
)</f>
        <v>Empty Row</v>
      </c>
      <c r="D331" t="str">
        <f>IF(RawDataTable[[#This Row],[Account Name and Number]]&lt;&gt;"", RawDataTable[[#This Row],[Account Name and Number]], "Empty Row")</f>
        <v>Empty Row</v>
      </c>
      <c r="E331" s="28" t="str">
        <f>IF(D331="Empty Row", "Empty Row",
   _xlfn.LET(
       _xlpm.lookupResult, _xlfn.XLOOKUP(D331, RawDataTable[Account Name and Number], RawDataTable[Investment Date], "MISSING VALUE"),
       IF(ISNUMBER(_xlpm.lookupResult), _xlpm.lookupResult, "INVALID VALUE")
   )
)</f>
        <v>Empty Row</v>
      </c>
      <c r="F331" s="29" t="str">
        <f>IF(D331="Empty Row", "Empty Row",
   _xlfn.LET(
       _xlpm.lookupResult, _xlfn.XLOOKUP(D331, RawDataTable[Account Name and Number], RawDataTable[Investment Amount], "MISSING VALUE"),
       IF(ISNUMBER(_xlpm.lookupResult), _xlpm.lookupResult, "INVALID VALUE")
   )
)</f>
        <v>Empty Row</v>
      </c>
      <c r="G331" s="28" t="str">
        <f t="shared" ca="1" si="5"/>
        <v>Empty Row</v>
      </c>
      <c r="H331" s="29" t="str">
        <f>IF(D331="Empty Row", "Empty Row",
   _xlfn.LET(
       _xlpm.lookupResult, _xlfn.XLOOKUP(D331, RawDataTable[Account Name and Number], RawDataTable[Valuation Amount], "MISSING VALUE"),
       IF(ISNUMBER(_xlpm.lookupResult), _xlpm.lookupResult, "INVALID VALUE")
   )
)</f>
        <v>Empty Row</v>
      </c>
      <c r="I331" s="2" t="str">
        <f>IF(D331="Empty Row", "Empty Row", IF(_xlfn.XLOOKUP(B331, MasterTable[IRA Custodian], MasterTable[Address], "")="", "NO STREET NAME FOUND", _xlfn.XLOOKUP(B331, MasterTable[IRA Custodian], MasterTable[Address], "")))</f>
        <v>Empty Row</v>
      </c>
      <c r="J331" s="2" t="str">
        <f>IF(D331="Empty Row", "Empty Row",
   IF(OR(
       _xlfn.XLOOKUP(B331, MasterTable[IRA Custodian], MasterTable[City], "")="",
       _xlfn.XLOOKUP(B331, MasterTable[IRA Custodian], MasterTable[State], "")="",
       _xlfn.XLOOKUP(B331, MasterTable[IRA Custodian], MasterTable[Zip], "")=""),
       "INCOMPLETE ADDRESS",
       _xlfn.CONCAT(
           _xlfn.XLOOKUP(B331, MasterTable[IRA Custodian], MasterTable[City], ""), ", ",
           _xlfn.XLOOKUP(B331, MasterTable[IRA Custodian], MasterTable[State], ""), " ",
           _xlfn.XLOOKUP(B331, MasterTable[IRA Custodian], MasterTable[Zip], "")
       )
   )
)</f>
        <v>Empty Row</v>
      </c>
    </row>
    <row r="332" spans="1:10" x14ac:dyDescent="0.25">
      <c r="A332" t="str">
        <f>IF(D332="Empty Row", "Empty Row",
   _xlfn.LET(
       _xlpm.lookupResult, _xlfn.XLOOKUP(D332, RawDataTable[Account Name and Number], RawDataTable[Entity], "RAW DATA MISSING"),
       IF(ISBLANK(_xlpm.lookupResult), "RAW DATA MISSING", _xlpm.lookupResult)
   )
)</f>
        <v>Empty Row</v>
      </c>
      <c r="B332" t="str">
        <f>IF(D332="Empty Row", "Empty Row",
   _xlfn.LET(
       _xlpm.rawDataLookup, _xlfn.XLOOKUP(D332,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32" s="56" t="str" cm="1">
        <f t="array" ref="C332">IF(D332="Empty Row", "Empty Row",
   IF(COUNTIF('Name Mapping'!H:AD, D332) &gt; 0,
      INDEX('Name Mapping'!F:F, MATCH(TRUE, MMULT(--('Name Mapping'!H:AD=D332), TRANSPOSE(COLUMN('Name Mapping'!H:AD)^0)) &gt; 0, 0)),
      "")
)</f>
        <v>Empty Row</v>
      </c>
      <c r="D332" t="str">
        <f>IF(RawDataTable[[#This Row],[Account Name and Number]]&lt;&gt;"", RawDataTable[[#This Row],[Account Name and Number]], "Empty Row")</f>
        <v>Empty Row</v>
      </c>
      <c r="E332" s="28" t="str">
        <f>IF(D332="Empty Row", "Empty Row",
   _xlfn.LET(
       _xlpm.lookupResult, _xlfn.XLOOKUP(D332, RawDataTable[Account Name and Number], RawDataTable[Investment Date], "MISSING VALUE"),
       IF(ISNUMBER(_xlpm.lookupResult), _xlpm.lookupResult, "INVALID VALUE")
   )
)</f>
        <v>Empty Row</v>
      </c>
      <c r="F332" s="29" t="str">
        <f>IF(D332="Empty Row", "Empty Row",
   _xlfn.LET(
       _xlpm.lookupResult, _xlfn.XLOOKUP(D332, RawDataTable[Account Name and Number], RawDataTable[Investment Amount], "MISSING VALUE"),
       IF(ISNUMBER(_xlpm.lookupResult), _xlpm.lookupResult, "INVALID VALUE")
   )
)</f>
        <v>Empty Row</v>
      </c>
      <c r="G332" s="28" t="str">
        <f t="shared" ca="1" si="5"/>
        <v>Empty Row</v>
      </c>
      <c r="H332" s="29" t="str">
        <f>IF(D332="Empty Row", "Empty Row",
   _xlfn.LET(
       _xlpm.lookupResult, _xlfn.XLOOKUP(D332, RawDataTable[Account Name and Number], RawDataTable[Valuation Amount], "MISSING VALUE"),
       IF(ISNUMBER(_xlpm.lookupResult), _xlpm.lookupResult, "INVALID VALUE")
   )
)</f>
        <v>Empty Row</v>
      </c>
      <c r="I332" s="2" t="str">
        <f>IF(D332="Empty Row", "Empty Row", IF(_xlfn.XLOOKUP(B332, MasterTable[IRA Custodian], MasterTable[Address], "")="", "NO STREET NAME FOUND", _xlfn.XLOOKUP(B332, MasterTable[IRA Custodian], MasterTable[Address], "")))</f>
        <v>Empty Row</v>
      </c>
      <c r="J332" s="2" t="str">
        <f>IF(D332="Empty Row", "Empty Row",
   IF(OR(
       _xlfn.XLOOKUP(B332, MasterTable[IRA Custodian], MasterTable[City], "")="",
       _xlfn.XLOOKUP(B332, MasterTable[IRA Custodian], MasterTable[State], "")="",
       _xlfn.XLOOKUP(B332, MasterTable[IRA Custodian], MasterTable[Zip], "")=""),
       "INCOMPLETE ADDRESS",
       _xlfn.CONCAT(
           _xlfn.XLOOKUP(B332, MasterTable[IRA Custodian], MasterTable[City], ""), ", ",
           _xlfn.XLOOKUP(B332, MasterTable[IRA Custodian], MasterTable[State], ""), " ",
           _xlfn.XLOOKUP(B332, MasterTable[IRA Custodian], MasterTable[Zip], "")
       )
   )
)</f>
        <v>Empty Row</v>
      </c>
    </row>
    <row r="333" spans="1:10" x14ac:dyDescent="0.25">
      <c r="A333" t="str">
        <f>IF(D333="Empty Row", "Empty Row",
   _xlfn.LET(
       _xlpm.lookupResult, _xlfn.XLOOKUP(D333, RawDataTable[Account Name and Number], RawDataTable[Entity], "RAW DATA MISSING"),
       IF(ISBLANK(_xlpm.lookupResult), "RAW DATA MISSING", _xlpm.lookupResult)
   )
)</f>
        <v>Empty Row</v>
      </c>
      <c r="B333" t="str">
        <f>IF(D333="Empty Row", "Empty Row",
   _xlfn.LET(
       _xlpm.rawDataLookup, _xlfn.XLOOKUP(D333,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33" s="56" t="str" cm="1">
        <f t="array" ref="C333">IF(D333="Empty Row", "Empty Row",
   IF(COUNTIF('Name Mapping'!H:AD, D333) &gt; 0,
      INDEX('Name Mapping'!F:F, MATCH(TRUE, MMULT(--('Name Mapping'!H:AD=D333), TRANSPOSE(COLUMN('Name Mapping'!H:AD)^0)) &gt; 0, 0)),
      "")
)</f>
        <v>Empty Row</v>
      </c>
      <c r="D333" t="str">
        <f>IF(RawDataTable[[#This Row],[Account Name and Number]]&lt;&gt;"", RawDataTable[[#This Row],[Account Name and Number]], "Empty Row")</f>
        <v>Empty Row</v>
      </c>
      <c r="E333" s="28" t="str">
        <f>IF(D333="Empty Row", "Empty Row",
   _xlfn.LET(
       _xlpm.lookupResult, _xlfn.XLOOKUP(D333, RawDataTable[Account Name and Number], RawDataTable[Investment Date], "MISSING VALUE"),
       IF(ISNUMBER(_xlpm.lookupResult), _xlpm.lookupResult, "INVALID VALUE")
   )
)</f>
        <v>Empty Row</v>
      </c>
      <c r="F333" s="29" t="str">
        <f>IF(D333="Empty Row", "Empty Row",
   _xlfn.LET(
       _xlpm.lookupResult, _xlfn.XLOOKUP(D333, RawDataTable[Account Name and Number], RawDataTable[Investment Amount], "MISSING VALUE"),
       IF(ISNUMBER(_xlpm.lookupResult), _xlpm.lookupResult, "INVALID VALUE")
   )
)</f>
        <v>Empty Row</v>
      </c>
      <c r="G333" s="28" t="str">
        <f t="shared" ca="1" si="5"/>
        <v>Empty Row</v>
      </c>
      <c r="H333" s="29" t="str">
        <f>IF(D333="Empty Row", "Empty Row",
   _xlfn.LET(
       _xlpm.lookupResult, _xlfn.XLOOKUP(D333, RawDataTable[Account Name and Number], RawDataTable[Valuation Amount], "MISSING VALUE"),
       IF(ISNUMBER(_xlpm.lookupResult), _xlpm.lookupResult, "INVALID VALUE")
   )
)</f>
        <v>Empty Row</v>
      </c>
      <c r="I333" s="2" t="str">
        <f>IF(D333="Empty Row", "Empty Row", IF(_xlfn.XLOOKUP(B333, MasterTable[IRA Custodian], MasterTable[Address], "")="", "NO STREET NAME FOUND", _xlfn.XLOOKUP(B333, MasterTable[IRA Custodian], MasterTable[Address], "")))</f>
        <v>Empty Row</v>
      </c>
      <c r="J333" s="2" t="str">
        <f>IF(D333="Empty Row", "Empty Row",
   IF(OR(
       _xlfn.XLOOKUP(B333, MasterTable[IRA Custodian], MasterTable[City], "")="",
       _xlfn.XLOOKUP(B333, MasterTable[IRA Custodian], MasterTable[State], "")="",
       _xlfn.XLOOKUP(B333, MasterTable[IRA Custodian], MasterTable[Zip], "")=""),
       "INCOMPLETE ADDRESS",
       _xlfn.CONCAT(
           _xlfn.XLOOKUP(B333, MasterTable[IRA Custodian], MasterTable[City], ""), ", ",
           _xlfn.XLOOKUP(B333, MasterTable[IRA Custodian], MasterTable[State], ""), " ",
           _xlfn.XLOOKUP(B333, MasterTable[IRA Custodian], MasterTable[Zip], "")
       )
   )
)</f>
        <v>Empty Row</v>
      </c>
    </row>
    <row r="334" spans="1:10" x14ac:dyDescent="0.25">
      <c r="A334" t="str">
        <f>IF(D334="Empty Row", "Empty Row",
   _xlfn.LET(
       _xlpm.lookupResult, _xlfn.XLOOKUP(D334, RawDataTable[Account Name and Number], RawDataTable[Entity], "RAW DATA MISSING"),
       IF(ISBLANK(_xlpm.lookupResult), "RAW DATA MISSING", _xlpm.lookupResult)
   )
)</f>
        <v>Empty Row</v>
      </c>
      <c r="B334" t="str">
        <f>IF(D334="Empty Row", "Empty Row",
   _xlfn.LET(
       _xlpm.rawDataLookup, _xlfn.XLOOKUP(D334,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34" s="56" t="str" cm="1">
        <f t="array" ref="C334">IF(D334="Empty Row", "Empty Row",
   IF(COUNTIF('Name Mapping'!H:AD, D334) &gt; 0,
      INDEX('Name Mapping'!F:F, MATCH(TRUE, MMULT(--('Name Mapping'!H:AD=D334), TRANSPOSE(COLUMN('Name Mapping'!H:AD)^0)) &gt; 0, 0)),
      "")
)</f>
        <v>Empty Row</v>
      </c>
      <c r="D334" t="str">
        <f>IF(RawDataTable[[#This Row],[Account Name and Number]]&lt;&gt;"", RawDataTable[[#This Row],[Account Name and Number]], "Empty Row")</f>
        <v>Empty Row</v>
      </c>
      <c r="E334" s="28" t="str">
        <f>IF(D334="Empty Row", "Empty Row",
   _xlfn.LET(
       _xlpm.lookupResult, _xlfn.XLOOKUP(D334, RawDataTable[Account Name and Number], RawDataTable[Investment Date], "MISSING VALUE"),
       IF(ISNUMBER(_xlpm.lookupResult), _xlpm.lookupResult, "INVALID VALUE")
   )
)</f>
        <v>Empty Row</v>
      </c>
      <c r="F334" s="29" t="str">
        <f>IF(D334="Empty Row", "Empty Row",
   _xlfn.LET(
       _xlpm.lookupResult, _xlfn.XLOOKUP(D334, RawDataTable[Account Name and Number], RawDataTable[Investment Amount], "MISSING VALUE"),
       IF(ISNUMBER(_xlpm.lookupResult), _xlpm.lookupResult, "INVALID VALUE")
   )
)</f>
        <v>Empty Row</v>
      </c>
      <c r="G334" s="28" t="str">
        <f t="shared" ca="1" si="5"/>
        <v>Empty Row</v>
      </c>
      <c r="H334" s="29" t="str">
        <f>IF(D334="Empty Row", "Empty Row",
   _xlfn.LET(
       _xlpm.lookupResult, _xlfn.XLOOKUP(D334, RawDataTable[Account Name and Number], RawDataTable[Valuation Amount], "MISSING VALUE"),
       IF(ISNUMBER(_xlpm.lookupResult), _xlpm.lookupResult, "INVALID VALUE")
   )
)</f>
        <v>Empty Row</v>
      </c>
      <c r="I334" s="2" t="str">
        <f>IF(D334="Empty Row", "Empty Row", IF(_xlfn.XLOOKUP(B334, MasterTable[IRA Custodian], MasterTable[Address], "")="", "NO STREET NAME FOUND", _xlfn.XLOOKUP(B334, MasterTable[IRA Custodian], MasterTable[Address], "")))</f>
        <v>Empty Row</v>
      </c>
      <c r="J334" s="2" t="str">
        <f>IF(D334="Empty Row", "Empty Row",
   IF(OR(
       _xlfn.XLOOKUP(B334, MasterTable[IRA Custodian], MasterTable[City], "")="",
       _xlfn.XLOOKUP(B334, MasterTable[IRA Custodian], MasterTable[State], "")="",
       _xlfn.XLOOKUP(B334, MasterTable[IRA Custodian], MasterTable[Zip], "")=""),
       "INCOMPLETE ADDRESS",
       _xlfn.CONCAT(
           _xlfn.XLOOKUP(B334, MasterTable[IRA Custodian], MasterTable[City], ""), ", ",
           _xlfn.XLOOKUP(B334, MasterTable[IRA Custodian], MasterTable[State], ""), " ",
           _xlfn.XLOOKUP(B334, MasterTable[IRA Custodian], MasterTable[Zip], "")
       )
   )
)</f>
        <v>Empty Row</v>
      </c>
    </row>
    <row r="335" spans="1:10" x14ac:dyDescent="0.25">
      <c r="A335" t="str">
        <f>IF(D335="Empty Row", "Empty Row",
   _xlfn.LET(
       _xlpm.lookupResult, _xlfn.XLOOKUP(D335, RawDataTable[Account Name and Number], RawDataTable[Entity], "RAW DATA MISSING"),
       IF(ISBLANK(_xlpm.lookupResult), "RAW DATA MISSING", _xlpm.lookupResult)
   )
)</f>
        <v>Empty Row</v>
      </c>
      <c r="B335" t="str">
        <f>IF(D335="Empty Row", "Empty Row",
   _xlfn.LET(
       _xlpm.rawDataLookup, _xlfn.XLOOKUP(D335,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35" s="56" t="str" cm="1">
        <f t="array" ref="C335">IF(D335="Empty Row", "Empty Row",
   IF(COUNTIF('Name Mapping'!H:AD, D335) &gt; 0,
      INDEX('Name Mapping'!F:F, MATCH(TRUE, MMULT(--('Name Mapping'!H:AD=D335), TRANSPOSE(COLUMN('Name Mapping'!H:AD)^0)) &gt; 0, 0)),
      "")
)</f>
        <v>Empty Row</v>
      </c>
      <c r="D335" t="str">
        <f>IF(RawDataTable[[#This Row],[Account Name and Number]]&lt;&gt;"", RawDataTable[[#This Row],[Account Name and Number]], "Empty Row")</f>
        <v>Empty Row</v>
      </c>
      <c r="E335" s="28" t="str">
        <f>IF(D335="Empty Row", "Empty Row",
   _xlfn.LET(
       _xlpm.lookupResult, _xlfn.XLOOKUP(D335, RawDataTable[Account Name and Number], RawDataTable[Investment Date], "MISSING VALUE"),
       IF(ISNUMBER(_xlpm.lookupResult), _xlpm.lookupResult, "INVALID VALUE")
   )
)</f>
        <v>Empty Row</v>
      </c>
      <c r="F335" s="29" t="str">
        <f>IF(D335="Empty Row", "Empty Row",
   _xlfn.LET(
       _xlpm.lookupResult, _xlfn.XLOOKUP(D335, RawDataTable[Account Name and Number], RawDataTable[Investment Amount], "MISSING VALUE"),
       IF(ISNUMBER(_xlpm.lookupResult), _xlpm.lookupResult, "INVALID VALUE")
   )
)</f>
        <v>Empty Row</v>
      </c>
      <c r="G335" s="28" t="str">
        <f t="shared" ca="1" si="5"/>
        <v>Empty Row</v>
      </c>
      <c r="H335" s="29" t="str">
        <f>IF(D335="Empty Row", "Empty Row",
   _xlfn.LET(
       _xlpm.lookupResult, _xlfn.XLOOKUP(D335, RawDataTable[Account Name and Number], RawDataTable[Valuation Amount], "MISSING VALUE"),
       IF(ISNUMBER(_xlpm.lookupResult), _xlpm.lookupResult, "INVALID VALUE")
   )
)</f>
        <v>Empty Row</v>
      </c>
      <c r="I335" s="2" t="str">
        <f>IF(D335="Empty Row", "Empty Row", IF(_xlfn.XLOOKUP(B335, MasterTable[IRA Custodian], MasterTable[Address], "")="", "NO STREET NAME FOUND", _xlfn.XLOOKUP(B335, MasterTable[IRA Custodian], MasterTable[Address], "")))</f>
        <v>Empty Row</v>
      </c>
      <c r="J335" s="2" t="str">
        <f>IF(D335="Empty Row", "Empty Row",
   IF(OR(
       _xlfn.XLOOKUP(B335, MasterTable[IRA Custodian], MasterTable[City], "")="",
       _xlfn.XLOOKUP(B335, MasterTable[IRA Custodian], MasterTable[State], "")="",
       _xlfn.XLOOKUP(B335, MasterTable[IRA Custodian], MasterTable[Zip], "")=""),
       "INCOMPLETE ADDRESS",
       _xlfn.CONCAT(
           _xlfn.XLOOKUP(B335, MasterTable[IRA Custodian], MasterTable[City], ""), ", ",
           _xlfn.XLOOKUP(B335, MasterTable[IRA Custodian], MasterTable[State], ""), " ",
           _xlfn.XLOOKUP(B335, MasterTable[IRA Custodian], MasterTable[Zip], "")
       )
   )
)</f>
        <v>Empty Row</v>
      </c>
    </row>
    <row r="336" spans="1:10" x14ac:dyDescent="0.25">
      <c r="A336" t="str">
        <f>IF(D336="Empty Row", "Empty Row",
   _xlfn.LET(
       _xlpm.lookupResult, _xlfn.XLOOKUP(D336, RawDataTable[Account Name and Number], RawDataTable[Entity], "RAW DATA MISSING"),
       IF(ISBLANK(_xlpm.lookupResult), "RAW DATA MISSING", _xlpm.lookupResult)
   )
)</f>
        <v>Empty Row</v>
      </c>
      <c r="B336" t="str">
        <f>IF(D336="Empty Row", "Empty Row",
   _xlfn.LET(
       _xlpm.rawDataLookup, _xlfn.XLOOKUP(D336,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36" s="56" t="str" cm="1">
        <f t="array" ref="C336">IF(D336="Empty Row", "Empty Row",
   IF(COUNTIF('Name Mapping'!H:AD, D336) &gt; 0,
      INDEX('Name Mapping'!F:F, MATCH(TRUE, MMULT(--('Name Mapping'!H:AD=D336), TRANSPOSE(COLUMN('Name Mapping'!H:AD)^0)) &gt; 0, 0)),
      "")
)</f>
        <v>Empty Row</v>
      </c>
      <c r="D336" t="str">
        <f>IF(RawDataTable[[#This Row],[Account Name and Number]]&lt;&gt;"", RawDataTable[[#This Row],[Account Name and Number]], "Empty Row")</f>
        <v>Empty Row</v>
      </c>
      <c r="E336" s="28" t="str">
        <f>IF(D336="Empty Row", "Empty Row",
   _xlfn.LET(
       _xlpm.lookupResult, _xlfn.XLOOKUP(D336, RawDataTable[Account Name and Number], RawDataTable[Investment Date], "MISSING VALUE"),
       IF(ISNUMBER(_xlpm.lookupResult), _xlpm.lookupResult, "INVALID VALUE")
   )
)</f>
        <v>Empty Row</v>
      </c>
      <c r="F336" s="29" t="str">
        <f>IF(D336="Empty Row", "Empty Row",
   _xlfn.LET(
       _xlpm.lookupResult, _xlfn.XLOOKUP(D336, RawDataTable[Account Name and Number], RawDataTable[Investment Amount], "MISSING VALUE"),
       IF(ISNUMBER(_xlpm.lookupResult), _xlpm.lookupResult, "INVALID VALUE")
   )
)</f>
        <v>Empty Row</v>
      </c>
      <c r="G336" s="28" t="str">
        <f t="shared" ca="1" si="5"/>
        <v>Empty Row</v>
      </c>
      <c r="H336" s="29" t="str">
        <f>IF(D336="Empty Row", "Empty Row",
   _xlfn.LET(
       _xlpm.lookupResult, _xlfn.XLOOKUP(D336, RawDataTable[Account Name and Number], RawDataTable[Valuation Amount], "MISSING VALUE"),
       IF(ISNUMBER(_xlpm.lookupResult), _xlpm.lookupResult, "INVALID VALUE")
   )
)</f>
        <v>Empty Row</v>
      </c>
      <c r="I336" s="2" t="str">
        <f>IF(D336="Empty Row", "Empty Row", IF(_xlfn.XLOOKUP(B336, MasterTable[IRA Custodian], MasterTable[Address], "")="", "NO STREET NAME FOUND", _xlfn.XLOOKUP(B336, MasterTable[IRA Custodian], MasterTable[Address], "")))</f>
        <v>Empty Row</v>
      </c>
      <c r="J336" s="2" t="str">
        <f>IF(D336="Empty Row", "Empty Row",
   IF(OR(
       _xlfn.XLOOKUP(B336, MasterTable[IRA Custodian], MasterTable[City], "")="",
       _xlfn.XLOOKUP(B336, MasterTable[IRA Custodian], MasterTable[State], "")="",
       _xlfn.XLOOKUP(B336, MasterTable[IRA Custodian], MasterTable[Zip], "")=""),
       "INCOMPLETE ADDRESS",
       _xlfn.CONCAT(
           _xlfn.XLOOKUP(B336, MasterTable[IRA Custodian], MasterTable[City], ""), ", ",
           _xlfn.XLOOKUP(B336, MasterTable[IRA Custodian], MasterTable[State], ""), " ",
           _xlfn.XLOOKUP(B336, MasterTable[IRA Custodian], MasterTable[Zip], "")
       )
   )
)</f>
        <v>Empty Row</v>
      </c>
    </row>
    <row r="337" spans="1:10" x14ac:dyDescent="0.25">
      <c r="A337" t="str">
        <f>IF(D337="Empty Row", "Empty Row",
   _xlfn.LET(
       _xlpm.lookupResult, _xlfn.XLOOKUP(D337, RawDataTable[Account Name and Number], RawDataTable[Entity], "RAW DATA MISSING"),
       IF(ISBLANK(_xlpm.lookupResult), "RAW DATA MISSING", _xlpm.lookupResult)
   )
)</f>
        <v>Empty Row</v>
      </c>
      <c r="B337" t="str">
        <f>IF(D337="Empty Row", "Empty Row",
   _xlfn.LET(
       _xlpm.rawDataLookup, _xlfn.XLOOKUP(D337,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37" s="56" t="str" cm="1">
        <f t="array" ref="C337">IF(D337="Empty Row", "Empty Row",
   IF(COUNTIF('Name Mapping'!H:AD, D337) &gt; 0,
      INDEX('Name Mapping'!F:F, MATCH(TRUE, MMULT(--('Name Mapping'!H:AD=D337), TRANSPOSE(COLUMN('Name Mapping'!H:AD)^0)) &gt; 0, 0)),
      "")
)</f>
        <v>Empty Row</v>
      </c>
      <c r="D337" t="str">
        <f>IF(RawDataTable[[#This Row],[Account Name and Number]]&lt;&gt;"", RawDataTable[[#This Row],[Account Name and Number]], "Empty Row")</f>
        <v>Empty Row</v>
      </c>
      <c r="E337" s="28" t="str">
        <f>IF(D337="Empty Row", "Empty Row",
   _xlfn.LET(
       _xlpm.lookupResult, _xlfn.XLOOKUP(D337, RawDataTable[Account Name and Number], RawDataTable[Investment Date], "MISSING VALUE"),
       IF(ISNUMBER(_xlpm.lookupResult), _xlpm.lookupResult, "INVALID VALUE")
   )
)</f>
        <v>Empty Row</v>
      </c>
      <c r="F337" s="29" t="str">
        <f>IF(D337="Empty Row", "Empty Row",
   _xlfn.LET(
       _xlpm.lookupResult, _xlfn.XLOOKUP(D337, RawDataTable[Account Name and Number], RawDataTable[Investment Amount], "MISSING VALUE"),
       IF(ISNUMBER(_xlpm.lookupResult), _xlpm.lookupResult, "INVALID VALUE")
   )
)</f>
        <v>Empty Row</v>
      </c>
      <c r="G337" s="28" t="str">
        <f t="shared" ca="1" si="5"/>
        <v>Empty Row</v>
      </c>
      <c r="H337" s="29" t="str">
        <f>IF(D337="Empty Row", "Empty Row",
   _xlfn.LET(
       _xlpm.lookupResult, _xlfn.XLOOKUP(D337, RawDataTable[Account Name and Number], RawDataTable[Valuation Amount], "MISSING VALUE"),
       IF(ISNUMBER(_xlpm.lookupResult), _xlpm.lookupResult, "INVALID VALUE")
   )
)</f>
        <v>Empty Row</v>
      </c>
      <c r="I337" s="2" t="str">
        <f>IF(D337="Empty Row", "Empty Row", IF(_xlfn.XLOOKUP(B337, MasterTable[IRA Custodian], MasterTable[Address], "")="", "NO STREET NAME FOUND", _xlfn.XLOOKUP(B337, MasterTable[IRA Custodian], MasterTable[Address], "")))</f>
        <v>Empty Row</v>
      </c>
      <c r="J337" s="2" t="str">
        <f>IF(D337="Empty Row", "Empty Row",
   IF(OR(
       _xlfn.XLOOKUP(B337, MasterTable[IRA Custodian], MasterTable[City], "")="",
       _xlfn.XLOOKUP(B337, MasterTable[IRA Custodian], MasterTable[State], "")="",
       _xlfn.XLOOKUP(B337, MasterTable[IRA Custodian], MasterTable[Zip], "")=""),
       "INCOMPLETE ADDRESS",
       _xlfn.CONCAT(
           _xlfn.XLOOKUP(B337, MasterTable[IRA Custodian], MasterTable[City], ""), ", ",
           _xlfn.XLOOKUP(B337, MasterTable[IRA Custodian], MasterTable[State], ""), " ",
           _xlfn.XLOOKUP(B337, MasterTable[IRA Custodian], MasterTable[Zip], "")
       )
   )
)</f>
        <v>Empty Row</v>
      </c>
    </row>
    <row r="338" spans="1:10" x14ac:dyDescent="0.25">
      <c r="A338" t="str">
        <f>IF(D338="Empty Row", "Empty Row",
   _xlfn.LET(
       _xlpm.lookupResult, _xlfn.XLOOKUP(D338, RawDataTable[Account Name and Number], RawDataTable[Entity], "RAW DATA MISSING"),
       IF(ISBLANK(_xlpm.lookupResult), "RAW DATA MISSING", _xlpm.lookupResult)
   )
)</f>
        <v>Empty Row</v>
      </c>
      <c r="B338" t="str">
        <f>IF(D338="Empty Row", "Empty Row",
   _xlfn.LET(
       _xlpm.rawDataLookup, _xlfn.XLOOKUP(D338,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38" s="56" t="str" cm="1">
        <f t="array" ref="C338">IF(D338="Empty Row", "Empty Row",
   IF(COUNTIF('Name Mapping'!H:AD, D338) &gt; 0,
      INDEX('Name Mapping'!F:F, MATCH(TRUE, MMULT(--('Name Mapping'!H:AD=D338), TRANSPOSE(COLUMN('Name Mapping'!H:AD)^0)) &gt; 0, 0)),
      "")
)</f>
        <v>Empty Row</v>
      </c>
      <c r="D338" t="str">
        <f>IF(RawDataTable[[#This Row],[Account Name and Number]]&lt;&gt;"", RawDataTable[[#This Row],[Account Name and Number]], "Empty Row")</f>
        <v>Empty Row</v>
      </c>
      <c r="E338" s="28" t="str">
        <f>IF(D338="Empty Row", "Empty Row",
   _xlfn.LET(
       _xlpm.lookupResult, _xlfn.XLOOKUP(D338, RawDataTable[Account Name and Number], RawDataTable[Investment Date], "MISSING VALUE"),
       IF(ISNUMBER(_xlpm.lookupResult), _xlpm.lookupResult, "INVALID VALUE")
   )
)</f>
        <v>Empty Row</v>
      </c>
      <c r="F338" s="29" t="str">
        <f>IF(D338="Empty Row", "Empty Row",
   _xlfn.LET(
       _xlpm.lookupResult, _xlfn.XLOOKUP(D338, RawDataTable[Account Name and Number], RawDataTable[Investment Amount], "MISSING VALUE"),
       IF(ISNUMBER(_xlpm.lookupResult), _xlpm.lookupResult, "INVALID VALUE")
   )
)</f>
        <v>Empty Row</v>
      </c>
      <c r="G338" s="28" t="str">
        <f t="shared" ca="1" si="5"/>
        <v>Empty Row</v>
      </c>
      <c r="H338" s="29" t="str">
        <f>IF(D338="Empty Row", "Empty Row",
   _xlfn.LET(
       _xlpm.lookupResult, _xlfn.XLOOKUP(D338, RawDataTable[Account Name and Number], RawDataTable[Valuation Amount], "MISSING VALUE"),
       IF(ISNUMBER(_xlpm.lookupResult), _xlpm.lookupResult, "INVALID VALUE")
   )
)</f>
        <v>Empty Row</v>
      </c>
      <c r="I338" s="2" t="str">
        <f>IF(D338="Empty Row", "Empty Row", IF(_xlfn.XLOOKUP(B338, MasterTable[IRA Custodian], MasterTable[Address], "")="", "NO STREET NAME FOUND", _xlfn.XLOOKUP(B338, MasterTable[IRA Custodian], MasterTable[Address], "")))</f>
        <v>Empty Row</v>
      </c>
      <c r="J338" s="2" t="str">
        <f>IF(D338="Empty Row", "Empty Row",
   IF(OR(
       _xlfn.XLOOKUP(B338, MasterTable[IRA Custodian], MasterTable[City], "")="",
       _xlfn.XLOOKUP(B338, MasterTable[IRA Custodian], MasterTable[State], "")="",
       _xlfn.XLOOKUP(B338, MasterTable[IRA Custodian], MasterTable[Zip], "")=""),
       "INCOMPLETE ADDRESS",
       _xlfn.CONCAT(
           _xlfn.XLOOKUP(B338, MasterTable[IRA Custodian], MasterTable[City], ""), ", ",
           _xlfn.XLOOKUP(B338, MasterTable[IRA Custodian], MasterTable[State], ""), " ",
           _xlfn.XLOOKUP(B338, MasterTable[IRA Custodian], MasterTable[Zip], "")
       )
   )
)</f>
        <v>Empty Row</v>
      </c>
    </row>
    <row r="339" spans="1:10" x14ac:dyDescent="0.25">
      <c r="A339" t="str">
        <f>IF(D339="Empty Row", "Empty Row",
   _xlfn.LET(
       _xlpm.lookupResult, _xlfn.XLOOKUP(D339, RawDataTable[Account Name and Number], RawDataTable[Entity], "RAW DATA MISSING"),
       IF(ISBLANK(_xlpm.lookupResult), "RAW DATA MISSING", _xlpm.lookupResult)
   )
)</f>
        <v>Empty Row</v>
      </c>
      <c r="B339" t="str">
        <f>IF(D339="Empty Row", "Empty Row",
   _xlfn.LET(
       _xlpm.rawDataLookup, _xlfn.XLOOKUP(D339,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39" s="56" t="str" cm="1">
        <f t="array" ref="C339">IF(D339="Empty Row", "Empty Row",
   IF(COUNTIF('Name Mapping'!H:AD, D339) &gt; 0,
      INDEX('Name Mapping'!F:F, MATCH(TRUE, MMULT(--('Name Mapping'!H:AD=D339), TRANSPOSE(COLUMN('Name Mapping'!H:AD)^0)) &gt; 0, 0)),
      "")
)</f>
        <v>Empty Row</v>
      </c>
      <c r="D339" t="str">
        <f>IF(RawDataTable[[#This Row],[Account Name and Number]]&lt;&gt;"", RawDataTable[[#This Row],[Account Name and Number]], "Empty Row")</f>
        <v>Empty Row</v>
      </c>
      <c r="E339" s="28" t="str">
        <f>IF(D339="Empty Row", "Empty Row",
   _xlfn.LET(
       _xlpm.lookupResult, _xlfn.XLOOKUP(D339, RawDataTable[Account Name and Number], RawDataTable[Investment Date], "MISSING VALUE"),
       IF(ISNUMBER(_xlpm.lookupResult), _xlpm.lookupResult, "INVALID VALUE")
   )
)</f>
        <v>Empty Row</v>
      </c>
      <c r="F339" s="29" t="str">
        <f>IF(D339="Empty Row", "Empty Row",
   _xlfn.LET(
       _xlpm.lookupResult, _xlfn.XLOOKUP(D339, RawDataTable[Account Name and Number], RawDataTable[Investment Amount], "MISSING VALUE"),
       IF(ISNUMBER(_xlpm.lookupResult), _xlpm.lookupResult, "INVALID VALUE")
   )
)</f>
        <v>Empty Row</v>
      </c>
      <c r="G339" s="28" t="str">
        <f t="shared" ca="1" si="5"/>
        <v>Empty Row</v>
      </c>
      <c r="H339" s="29" t="str">
        <f>IF(D339="Empty Row", "Empty Row",
   _xlfn.LET(
       _xlpm.lookupResult, _xlfn.XLOOKUP(D339, RawDataTable[Account Name and Number], RawDataTable[Valuation Amount], "MISSING VALUE"),
       IF(ISNUMBER(_xlpm.lookupResult), _xlpm.lookupResult, "INVALID VALUE")
   )
)</f>
        <v>Empty Row</v>
      </c>
      <c r="I339" s="2" t="str">
        <f>IF(D339="Empty Row", "Empty Row", IF(_xlfn.XLOOKUP(B339, MasterTable[IRA Custodian], MasterTable[Address], "")="", "NO STREET NAME FOUND", _xlfn.XLOOKUP(B339, MasterTable[IRA Custodian], MasterTable[Address], "")))</f>
        <v>Empty Row</v>
      </c>
      <c r="J339" s="2" t="str">
        <f>IF(D339="Empty Row", "Empty Row",
   IF(OR(
       _xlfn.XLOOKUP(B339, MasterTable[IRA Custodian], MasterTable[City], "")="",
       _xlfn.XLOOKUP(B339, MasterTable[IRA Custodian], MasterTable[State], "")="",
       _xlfn.XLOOKUP(B339, MasterTable[IRA Custodian], MasterTable[Zip], "")=""),
       "INCOMPLETE ADDRESS",
       _xlfn.CONCAT(
           _xlfn.XLOOKUP(B339, MasterTable[IRA Custodian], MasterTable[City], ""), ", ",
           _xlfn.XLOOKUP(B339, MasterTable[IRA Custodian], MasterTable[State], ""), " ",
           _xlfn.XLOOKUP(B339, MasterTable[IRA Custodian], MasterTable[Zip], "")
       )
   )
)</f>
        <v>Empty Row</v>
      </c>
    </row>
    <row r="340" spans="1:10" x14ac:dyDescent="0.25">
      <c r="A340" t="str">
        <f>IF(D340="Empty Row", "Empty Row",
   _xlfn.LET(
       _xlpm.lookupResult, _xlfn.XLOOKUP(D340, RawDataTable[Account Name and Number], RawDataTable[Entity], "RAW DATA MISSING"),
       IF(ISBLANK(_xlpm.lookupResult), "RAW DATA MISSING", _xlpm.lookupResult)
   )
)</f>
        <v>Empty Row</v>
      </c>
      <c r="B340" t="str">
        <f>IF(D340="Empty Row", "Empty Row",
   _xlfn.LET(
       _xlpm.rawDataLookup, _xlfn.XLOOKUP(D340,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40" s="56" t="str" cm="1">
        <f t="array" ref="C340">IF(D340="Empty Row", "Empty Row",
   IF(COUNTIF('Name Mapping'!H:AD, D340) &gt; 0,
      INDEX('Name Mapping'!F:F, MATCH(TRUE, MMULT(--('Name Mapping'!H:AD=D340), TRANSPOSE(COLUMN('Name Mapping'!H:AD)^0)) &gt; 0, 0)),
      "")
)</f>
        <v>Empty Row</v>
      </c>
      <c r="D340" t="str">
        <f>IF(RawDataTable[[#This Row],[Account Name and Number]]&lt;&gt;"", RawDataTable[[#This Row],[Account Name and Number]], "Empty Row")</f>
        <v>Empty Row</v>
      </c>
      <c r="E340" s="28" t="str">
        <f>IF(D340="Empty Row", "Empty Row",
   _xlfn.LET(
       _xlpm.lookupResult, _xlfn.XLOOKUP(D340, RawDataTable[Account Name and Number], RawDataTable[Investment Date], "MISSING VALUE"),
       IF(ISNUMBER(_xlpm.lookupResult), _xlpm.lookupResult, "INVALID VALUE")
   )
)</f>
        <v>Empty Row</v>
      </c>
      <c r="F340" s="29" t="str">
        <f>IF(D340="Empty Row", "Empty Row",
   _xlfn.LET(
       _xlpm.lookupResult, _xlfn.XLOOKUP(D340, RawDataTable[Account Name and Number], RawDataTable[Investment Amount], "MISSING VALUE"),
       IF(ISNUMBER(_xlpm.lookupResult), _xlpm.lookupResult, "INVALID VALUE")
   )
)</f>
        <v>Empty Row</v>
      </c>
      <c r="G340" s="28" t="str">
        <f t="shared" ca="1" si="5"/>
        <v>Empty Row</v>
      </c>
      <c r="H340" s="29" t="str">
        <f>IF(D340="Empty Row", "Empty Row",
   _xlfn.LET(
       _xlpm.lookupResult, _xlfn.XLOOKUP(D340, RawDataTable[Account Name and Number], RawDataTable[Valuation Amount], "MISSING VALUE"),
       IF(ISNUMBER(_xlpm.lookupResult), _xlpm.lookupResult, "INVALID VALUE")
   )
)</f>
        <v>Empty Row</v>
      </c>
      <c r="I340" s="2" t="str">
        <f>IF(D340="Empty Row", "Empty Row", IF(_xlfn.XLOOKUP(B340, MasterTable[IRA Custodian], MasterTable[Address], "")="", "NO STREET NAME FOUND", _xlfn.XLOOKUP(B340, MasterTable[IRA Custodian], MasterTable[Address], "")))</f>
        <v>Empty Row</v>
      </c>
      <c r="J340" s="2" t="str">
        <f>IF(D340="Empty Row", "Empty Row",
   IF(OR(
       _xlfn.XLOOKUP(B340, MasterTable[IRA Custodian], MasterTable[City], "")="",
       _xlfn.XLOOKUP(B340, MasterTable[IRA Custodian], MasterTable[State], "")="",
       _xlfn.XLOOKUP(B340, MasterTable[IRA Custodian], MasterTable[Zip], "")=""),
       "INCOMPLETE ADDRESS",
       _xlfn.CONCAT(
           _xlfn.XLOOKUP(B340, MasterTable[IRA Custodian], MasterTable[City], ""), ", ",
           _xlfn.XLOOKUP(B340, MasterTable[IRA Custodian], MasterTable[State], ""), " ",
           _xlfn.XLOOKUP(B340, MasterTable[IRA Custodian], MasterTable[Zip], "")
       )
   )
)</f>
        <v>Empty Row</v>
      </c>
    </row>
    <row r="341" spans="1:10" x14ac:dyDescent="0.25">
      <c r="A341" t="str">
        <f>IF(D341="Empty Row", "Empty Row",
   _xlfn.LET(
       _xlpm.lookupResult, _xlfn.XLOOKUP(D341, RawDataTable[Account Name and Number], RawDataTable[Entity], "RAW DATA MISSING"),
       IF(ISBLANK(_xlpm.lookupResult), "RAW DATA MISSING", _xlpm.lookupResult)
   )
)</f>
        <v>Empty Row</v>
      </c>
      <c r="B341" t="str">
        <f>IF(D341="Empty Row", "Empty Row",
   _xlfn.LET(
       _xlpm.rawDataLookup, _xlfn.XLOOKUP(D341,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41" s="56" t="str" cm="1">
        <f t="array" ref="C341">IF(D341="Empty Row", "Empty Row",
   IF(COUNTIF('Name Mapping'!H:AD, D341) &gt; 0,
      INDEX('Name Mapping'!F:F, MATCH(TRUE, MMULT(--('Name Mapping'!H:AD=D341), TRANSPOSE(COLUMN('Name Mapping'!H:AD)^0)) &gt; 0, 0)),
      "")
)</f>
        <v>Empty Row</v>
      </c>
      <c r="D341" t="str">
        <f>IF(RawDataTable[[#This Row],[Account Name and Number]]&lt;&gt;"", RawDataTable[[#This Row],[Account Name and Number]], "Empty Row")</f>
        <v>Empty Row</v>
      </c>
      <c r="E341" s="28" t="str">
        <f>IF(D341="Empty Row", "Empty Row",
   _xlfn.LET(
       _xlpm.lookupResult, _xlfn.XLOOKUP(D341, RawDataTable[Account Name and Number], RawDataTable[Investment Date], "MISSING VALUE"),
       IF(ISNUMBER(_xlpm.lookupResult), _xlpm.lookupResult, "INVALID VALUE")
   )
)</f>
        <v>Empty Row</v>
      </c>
      <c r="F341" s="29" t="str">
        <f>IF(D341="Empty Row", "Empty Row",
   _xlfn.LET(
       _xlpm.lookupResult, _xlfn.XLOOKUP(D341, RawDataTable[Account Name and Number], RawDataTable[Investment Amount], "MISSING VALUE"),
       IF(ISNUMBER(_xlpm.lookupResult), _xlpm.lookupResult, "INVALID VALUE")
   )
)</f>
        <v>Empty Row</v>
      </c>
      <c r="G341" s="28" t="str">
        <f t="shared" ca="1" si="5"/>
        <v>Empty Row</v>
      </c>
      <c r="H341" s="29" t="str">
        <f>IF(D341="Empty Row", "Empty Row",
   _xlfn.LET(
       _xlpm.lookupResult, _xlfn.XLOOKUP(D341, RawDataTable[Account Name and Number], RawDataTable[Valuation Amount], "MISSING VALUE"),
       IF(ISNUMBER(_xlpm.lookupResult), _xlpm.lookupResult, "INVALID VALUE")
   )
)</f>
        <v>Empty Row</v>
      </c>
      <c r="I341" s="2" t="str">
        <f>IF(D341="Empty Row", "Empty Row", IF(_xlfn.XLOOKUP(B341, MasterTable[IRA Custodian], MasterTable[Address], "")="", "NO STREET NAME FOUND", _xlfn.XLOOKUP(B341, MasterTable[IRA Custodian], MasterTable[Address], "")))</f>
        <v>Empty Row</v>
      </c>
      <c r="J341" s="2" t="str">
        <f>IF(D341="Empty Row", "Empty Row",
   IF(OR(
       _xlfn.XLOOKUP(B341, MasterTable[IRA Custodian], MasterTable[City], "")="",
       _xlfn.XLOOKUP(B341, MasterTable[IRA Custodian], MasterTable[State], "")="",
       _xlfn.XLOOKUP(B341, MasterTable[IRA Custodian], MasterTable[Zip], "")=""),
       "INCOMPLETE ADDRESS",
       _xlfn.CONCAT(
           _xlfn.XLOOKUP(B341, MasterTable[IRA Custodian], MasterTable[City], ""), ", ",
           _xlfn.XLOOKUP(B341, MasterTable[IRA Custodian], MasterTable[State], ""), " ",
           _xlfn.XLOOKUP(B341, MasterTable[IRA Custodian], MasterTable[Zip], "")
       )
   )
)</f>
        <v>Empty Row</v>
      </c>
    </row>
    <row r="342" spans="1:10" x14ac:dyDescent="0.25">
      <c r="A342" t="str">
        <f>IF(D342="Empty Row", "Empty Row",
   _xlfn.LET(
       _xlpm.lookupResult, _xlfn.XLOOKUP(D342, RawDataTable[Account Name and Number], RawDataTable[Entity], "RAW DATA MISSING"),
       IF(ISBLANK(_xlpm.lookupResult), "RAW DATA MISSING", _xlpm.lookupResult)
   )
)</f>
        <v>Empty Row</v>
      </c>
      <c r="B342" t="str">
        <f>IF(D342="Empty Row", "Empty Row",
   _xlfn.LET(
       _xlpm.rawDataLookup, _xlfn.XLOOKUP(D342,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42" s="56" t="str" cm="1">
        <f t="array" ref="C342">IF(D342="Empty Row", "Empty Row",
   IF(COUNTIF('Name Mapping'!H:AD, D342) &gt; 0,
      INDEX('Name Mapping'!F:F, MATCH(TRUE, MMULT(--('Name Mapping'!H:AD=D342), TRANSPOSE(COLUMN('Name Mapping'!H:AD)^0)) &gt; 0, 0)),
      "")
)</f>
        <v>Empty Row</v>
      </c>
      <c r="D342" t="str">
        <f>IF(RawDataTable[[#This Row],[Account Name and Number]]&lt;&gt;"", RawDataTable[[#This Row],[Account Name and Number]], "Empty Row")</f>
        <v>Empty Row</v>
      </c>
      <c r="E342" s="28" t="str">
        <f>IF(D342="Empty Row", "Empty Row",
   _xlfn.LET(
       _xlpm.lookupResult, _xlfn.XLOOKUP(D342, RawDataTable[Account Name and Number], RawDataTable[Investment Date], "MISSING VALUE"),
       IF(ISNUMBER(_xlpm.lookupResult), _xlpm.lookupResult, "INVALID VALUE")
   )
)</f>
        <v>Empty Row</v>
      </c>
      <c r="F342" s="29" t="str">
        <f>IF(D342="Empty Row", "Empty Row",
   _xlfn.LET(
       _xlpm.lookupResult, _xlfn.XLOOKUP(D342, RawDataTable[Account Name and Number], RawDataTable[Investment Amount], "MISSING VALUE"),
       IF(ISNUMBER(_xlpm.lookupResult), _xlpm.lookupResult, "INVALID VALUE")
   )
)</f>
        <v>Empty Row</v>
      </c>
      <c r="G342" s="28" t="str">
        <f t="shared" ca="1" si="5"/>
        <v>Empty Row</v>
      </c>
      <c r="H342" s="29" t="str">
        <f>IF(D342="Empty Row", "Empty Row",
   _xlfn.LET(
       _xlpm.lookupResult, _xlfn.XLOOKUP(D342, RawDataTable[Account Name and Number], RawDataTable[Valuation Amount], "MISSING VALUE"),
       IF(ISNUMBER(_xlpm.lookupResult), _xlpm.lookupResult, "INVALID VALUE")
   )
)</f>
        <v>Empty Row</v>
      </c>
      <c r="I342" s="2" t="str">
        <f>IF(D342="Empty Row", "Empty Row", IF(_xlfn.XLOOKUP(B342, MasterTable[IRA Custodian], MasterTable[Address], "")="", "NO STREET NAME FOUND", _xlfn.XLOOKUP(B342, MasterTable[IRA Custodian], MasterTable[Address], "")))</f>
        <v>Empty Row</v>
      </c>
      <c r="J342" s="2" t="str">
        <f>IF(D342="Empty Row", "Empty Row",
   IF(OR(
       _xlfn.XLOOKUP(B342, MasterTable[IRA Custodian], MasterTable[City], "")="",
       _xlfn.XLOOKUP(B342, MasterTable[IRA Custodian], MasterTable[State], "")="",
       _xlfn.XLOOKUP(B342, MasterTable[IRA Custodian], MasterTable[Zip], "")=""),
       "INCOMPLETE ADDRESS",
       _xlfn.CONCAT(
           _xlfn.XLOOKUP(B342, MasterTable[IRA Custodian], MasterTable[City], ""), ", ",
           _xlfn.XLOOKUP(B342, MasterTable[IRA Custodian], MasterTable[State], ""), " ",
           _xlfn.XLOOKUP(B342, MasterTable[IRA Custodian], MasterTable[Zip], "")
       )
   )
)</f>
        <v>Empty Row</v>
      </c>
    </row>
    <row r="343" spans="1:10" x14ac:dyDescent="0.25">
      <c r="A343" t="str">
        <f>IF(D343="Empty Row", "Empty Row",
   _xlfn.LET(
       _xlpm.lookupResult, _xlfn.XLOOKUP(D343, RawDataTable[Account Name and Number], RawDataTable[Entity], "RAW DATA MISSING"),
       IF(ISBLANK(_xlpm.lookupResult), "RAW DATA MISSING", _xlpm.lookupResult)
   )
)</f>
        <v>Empty Row</v>
      </c>
      <c r="B343" t="str">
        <f>IF(D343="Empty Row", "Empty Row",
   _xlfn.LET(
       _xlpm.rawDataLookup, _xlfn.XLOOKUP(D343,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43" s="56" t="str" cm="1">
        <f t="array" ref="C343">IF(D343="Empty Row", "Empty Row",
   IF(COUNTIF('Name Mapping'!H:AD, D343) &gt; 0,
      INDEX('Name Mapping'!F:F, MATCH(TRUE, MMULT(--('Name Mapping'!H:AD=D343), TRANSPOSE(COLUMN('Name Mapping'!H:AD)^0)) &gt; 0, 0)),
      "")
)</f>
        <v>Empty Row</v>
      </c>
      <c r="D343" t="str">
        <f>IF(RawDataTable[[#This Row],[Account Name and Number]]&lt;&gt;"", RawDataTable[[#This Row],[Account Name and Number]], "Empty Row")</f>
        <v>Empty Row</v>
      </c>
      <c r="E343" s="28" t="str">
        <f>IF(D343="Empty Row", "Empty Row",
   _xlfn.LET(
       _xlpm.lookupResult, _xlfn.XLOOKUP(D343, RawDataTable[Account Name and Number], RawDataTable[Investment Date], "MISSING VALUE"),
       IF(ISNUMBER(_xlpm.lookupResult), _xlpm.lookupResult, "INVALID VALUE")
   )
)</f>
        <v>Empty Row</v>
      </c>
      <c r="F343" s="29" t="str">
        <f>IF(D343="Empty Row", "Empty Row",
   _xlfn.LET(
       _xlpm.lookupResult, _xlfn.XLOOKUP(D343, RawDataTable[Account Name and Number], RawDataTable[Investment Amount], "MISSING VALUE"),
       IF(ISNUMBER(_xlpm.lookupResult), _xlpm.lookupResult, "INVALID VALUE")
   )
)</f>
        <v>Empty Row</v>
      </c>
      <c r="G343" s="28" t="str">
        <f t="shared" ca="1" si="5"/>
        <v>Empty Row</v>
      </c>
      <c r="H343" s="29" t="str">
        <f>IF(D343="Empty Row", "Empty Row",
   _xlfn.LET(
       _xlpm.lookupResult, _xlfn.XLOOKUP(D343, RawDataTable[Account Name and Number], RawDataTable[Valuation Amount], "MISSING VALUE"),
       IF(ISNUMBER(_xlpm.lookupResult), _xlpm.lookupResult, "INVALID VALUE")
   )
)</f>
        <v>Empty Row</v>
      </c>
      <c r="I343" s="2" t="str">
        <f>IF(D343="Empty Row", "Empty Row", IF(_xlfn.XLOOKUP(B343, MasterTable[IRA Custodian], MasterTable[Address], "")="", "NO STREET NAME FOUND", _xlfn.XLOOKUP(B343, MasterTable[IRA Custodian], MasterTable[Address], "")))</f>
        <v>Empty Row</v>
      </c>
      <c r="J343" s="2" t="str">
        <f>IF(D343="Empty Row", "Empty Row",
   IF(OR(
       _xlfn.XLOOKUP(B343, MasterTable[IRA Custodian], MasterTable[City], "")="",
       _xlfn.XLOOKUP(B343, MasterTable[IRA Custodian], MasterTable[State], "")="",
       _xlfn.XLOOKUP(B343, MasterTable[IRA Custodian], MasterTable[Zip], "")=""),
       "INCOMPLETE ADDRESS",
       _xlfn.CONCAT(
           _xlfn.XLOOKUP(B343, MasterTable[IRA Custodian], MasterTable[City], ""), ", ",
           _xlfn.XLOOKUP(B343, MasterTable[IRA Custodian], MasterTable[State], ""), " ",
           _xlfn.XLOOKUP(B343, MasterTable[IRA Custodian], MasterTable[Zip], "")
       )
   )
)</f>
        <v>Empty Row</v>
      </c>
    </row>
    <row r="344" spans="1:10" x14ac:dyDescent="0.25">
      <c r="A344" t="str">
        <f>IF(D344="Empty Row", "Empty Row",
   _xlfn.LET(
       _xlpm.lookupResult, _xlfn.XLOOKUP(D344, RawDataTable[Account Name and Number], RawDataTable[Entity], "RAW DATA MISSING"),
       IF(ISBLANK(_xlpm.lookupResult), "RAW DATA MISSING", _xlpm.lookupResult)
   )
)</f>
        <v>Empty Row</v>
      </c>
      <c r="B344" t="str">
        <f>IF(D344="Empty Row", "Empty Row",
   _xlfn.LET(
       _xlpm.rawDataLookup, _xlfn.XLOOKUP(D344,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44" s="56" t="str" cm="1">
        <f t="array" ref="C344">IF(D344="Empty Row", "Empty Row",
   IF(COUNTIF('Name Mapping'!H:AD, D344) &gt; 0,
      INDEX('Name Mapping'!F:F, MATCH(TRUE, MMULT(--('Name Mapping'!H:AD=D344), TRANSPOSE(COLUMN('Name Mapping'!H:AD)^0)) &gt; 0, 0)),
      "")
)</f>
        <v>Empty Row</v>
      </c>
      <c r="D344" t="str">
        <f>IF(RawDataTable[[#This Row],[Account Name and Number]]&lt;&gt;"", RawDataTable[[#This Row],[Account Name and Number]], "Empty Row")</f>
        <v>Empty Row</v>
      </c>
      <c r="E344" s="28" t="str">
        <f>IF(D344="Empty Row", "Empty Row",
   _xlfn.LET(
       _xlpm.lookupResult, _xlfn.XLOOKUP(D344, RawDataTable[Account Name and Number], RawDataTable[Investment Date], "MISSING VALUE"),
       IF(ISNUMBER(_xlpm.lookupResult), _xlpm.lookupResult, "INVALID VALUE")
   )
)</f>
        <v>Empty Row</v>
      </c>
      <c r="F344" s="29" t="str">
        <f>IF(D344="Empty Row", "Empty Row",
   _xlfn.LET(
       _xlpm.lookupResult, _xlfn.XLOOKUP(D344, RawDataTable[Account Name and Number], RawDataTable[Investment Amount], "MISSING VALUE"),
       IF(ISNUMBER(_xlpm.lookupResult), _xlpm.lookupResult, "INVALID VALUE")
   )
)</f>
        <v>Empty Row</v>
      </c>
      <c r="G344" s="28" t="str">
        <f t="shared" ca="1" si="5"/>
        <v>Empty Row</v>
      </c>
      <c r="H344" s="29" t="str">
        <f>IF(D344="Empty Row", "Empty Row",
   _xlfn.LET(
       _xlpm.lookupResult, _xlfn.XLOOKUP(D344, RawDataTable[Account Name and Number], RawDataTable[Valuation Amount], "MISSING VALUE"),
       IF(ISNUMBER(_xlpm.lookupResult), _xlpm.lookupResult, "INVALID VALUE")
   )
)</f>
        <v>Empty Row</v>
      </c>
      <c r="I344" s="2" t="str">
        <f>IF(D344="Empty Row", "Empty Row", IF(_xlfn.XLOOKUP(B344, MasterTable[IRA Custodian], MasterTable[Address], "")="", "NO STREET NAME FOUND", _xlfn.XLOOKUP(B344, MasterTable[IRA Custodian], MasterTable[Address], "")))</f>
        <v>Empty Row</v>
      </c>
      <c r="J344" s="2" t="str">
        <f>IF(D344="Empty Row", "Empty Row",
   IF(OR(
       _xlfn.XLOOKUP(B344, MasterTable[IRA Custodian], MasterTable[City], "")="",
       _xlfn.XLOOKUP(B344, MasterTable[IRA Custodian], MasterTable[State], "")="",
       _xlfn.XLOOKUP(B344, MasterTable[IRA Custodian], MasterTable[Zip], "")=""),
       "INCOMPLETE ADDRESS",
       _xlfn.CONCAT(
           _xlfn.XLOOKUP(B344, MasterTable[IRA Custodian], MasterTable[City], ""), ", ",
           _xlfn.XLOOKUP(B344, MasterTable[IRA Custodian], MasterTable[State], ""), " ",
           _xlfn.XLOOKUP(B344, MasterTable[IRA Custodian], MasterTable[Zip], "")
       )
   )
)</f>
        <v>Empty Row</v>
      </c>
    </row>
    <row r="345" spans="1:10" x14ac:dyDescent="0.25">
      <c r="A345" t="str">
        <f>IF(D345="Empty Row", "Empty Row",
   _xlfn.LET(
       _xlpm.lookupResult, _xlfn.XLOOKUP(D345, RawDataTable[Account Name and Number], RawDataTable[Entity], "RAW DATA MISSING"),
       IF(ISBLANK(_xlpm.lookupResult), "RAW DATA MISSING", _xlpm.lookupResult)
   )
)</f>
        <v>Empty Row</v>
      </c>
      <c r="B345" t="str">
        <f>IF(D345="Empty Row", "Empty Row",
   _xlfn.LET(
       _xlpm.rawDataLookup, _xlfn.XLOOKUP(D345,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45" s="56" t="str" cm="1">
        <f t="array" ref="C345">IF(D345="Empty Row", "Empty Row",
   IF(COUNTIF('Name Mapping'!H:AD, D345) &gt; 0,
      INDEX('Name Mapping'!F:F, MATCH(TRUE, MMULT(--('Name Mapping'!H:AD=D345), TRANSPOSE(COLUMN('Name Mapping'!H:AD)^0)) &gt; 0, 0)),
      "")
)</f>
        <v>Empty Row</v>
      </c>
      <c r="D345" t="str">
        <f>IF(RawDataTable[[#This Row],[Account Name and Number]]&lt;&gt;"", RawDataTable[[#This Row],[Account Name and Number]], "Empty Row")</f>
        <v>Empty Row</v>
      </c>
      <c r="E345" s="28" t="str">
        <f>IF(D345="Empty Row", "Empty Row",
   _xlfn.LET(
       _xlpm.lookupResult, _xlfn.XLOOKUP(D345, RawDataTable[Account Name and Number], RawDataTable[Investment Date], "MISSING VALUE"),
       IF(ISNUMBER(_xlpm.lookupResult), _xlpm.lookupResult, "INVALID VALUE")
   )
)</f>
        <v>Empty Row</v>
      </c>
      <c r="F345" s="29" t="str">
        <f>IF(D345="Empty Row", "Empty Row",
   _xlfn.LET(
       _xlpm.lookupResult, _xlfn.XLOOKUP(D345, RawDataTable[Account Name and Number], RawDataTable[Investment Amount], "MISSING VALUE"),
       IF(ISNUMBER(_xlpm.lookupResult), _xlpm.lookupResult, "INVALID VALUE")
   )
)</f>
        <v>Empty Row</v>
      </c>
      <c r="G345" s="28" t="str">
        <f t="shared" ca="1" si="5"/>
        <v>Empty Row</v>
      </c>
      <c r="H345" s="29" t="str">
        <f>IF(D345="Empty Row", "Empty Row",
   _xlfn.LET(
       _xlpm.lookupResult, _xlfn.XLOOKUP(D345, RawDataTable[Account Name and Number], RawDataTable[Valuation Amount], "MISSING VALUE"),
       IF(ISNUMBER(_xlpm.lookupResult), _xlpm.lookupResult, "INVALID VALUE")
   )
)</f>
        <v>Empty Row</v>
      </c>
      <c r="I345" s="2" t="str">
        <f>IF(D345="Empty Row", "Empty Row", IF(_xlfn.XLOOKUP(B345, MasterTable[IRA Custodian], MasterTable[Address], "")="", "NO STREET NAME FOUND", _xlfn.XLOOKUP(B345, MasterTable[IRA Custodian], MasterTable[Address], "")))</f>
        <v>Empty Row</v>
      </c>
      <c r="J345" s="2" t="str">
        <f>IF(D345="Empty Row", "Empty Row",
   IF(OR(
       _xlfn.XLOOKUP(B345, MasterTable[IRA Custodian], MasterTable[City], "")="",
       _xlfn.XLOOKUP(B345, MasterTable[IRA Custodian], MasterTable[State], "")="",
       _xlfn.XLOOKUP(B345, MasterTable[IRA Custodian], MasterTable[Zip], "")=""),
       "INCOMPLETE ADDRESS",
       _xlfn.CONCAT(
           _xlfn.XLOOKUP(B345, MasterTable[IRA Custodian], MasterTable[City], ""), ", ",
           _xlfn.XLOOKUP(B345, MasterTable[IRA Custodian], MasterTable[State], ""), " ",
           _xlfn.XLOOKUP(B345, MasterTable[IRA Custodian], MasterTable[Zip], "")
       )
   )
)</f>
        <v>Empty Row</v>
      </c>
    </row>
    <row r="346" spans="1:10" x14ac:dyDescent="0.25">
      <c r="A346" t="str">
        <f>IF(D346="Empty Row", "Empty Row",
   _xlfn.LET(
       _xlpm.lookupResult, _xlfn.XLOOKUP(D346, RawDataTable[Account Name and Number], RawDataTable[Entity], "RAW DATA MISSING"),
       IF(ISBLANK(_xlpm.lookupResult), "RAW DATA MISSING", _xlpm.lookupResult)
   )
)</f>
        <v>Empty Row</v>
      </c>
      <c r="B346" t="str">
        <f>IF(D346="Empty Row", "Empty Row",
   _xlfn.LET(
       _xlpm.rawDataLookup, _xlfn.XLOOKUP(D346,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46" s="56" t="str" cm="1">
        <f t="array" ref="C346">IF(D346="Empty Row", "Empty Row",
   IF(COUNTIF('Name Mapping'!H:AD, D346) &gt; 0,
      INDEX('Name Mapping'!F:F, MATCH(TRUE, MMULT(--('Name Mapping'!H:AD=D346), TRANSPOSE(COLUMN('Name Mapping'!H:AD)^0)) &gt; 0, 0)),
      "")
)</f>
        <v>Empty Row</v>
      </c>
      <c r="D346" t="str">
        <f>IF(RawDataTable[[#This Row],[Account Name and Number]]&lt;&gt;"", RawDataTable[[#This Row],[Account Name and Number]], "Empty Row")</f>
        <v>Empty Row</v>
      </c>
      <c r="E346" s="28" t="str">
        <f>IF(D346="Empty Row", "Empty Row",
   _xlfn.LET(
       _xlpm.lookupResult, _xlfn.XLOOKUP(D346, RawDataTable[Account Name and Number], RawDataTable[Investment Date], "MISSING VALUE"),
       IF(ISNUMBER(_xlpm.lookupResult), _xlpm.lookupResult, "INVALID VALUE")
   )
)</f>
        <v>Empty Row</v>
      </c>
      <c r="F346" s="29" t="str">
        <f>IF(D346="Empty Row", "Empty Row",
   _xlfn.LET(
       _xlpm.lookupResult, _xlfn.XLOOKUP(D346, RawDataTable[Account Name and Number], RawDataTable[Investment Amount], "MISSING VALUE"),
       IF(ISNUMBER(_xlpm.lookupResult), _xlpm.lookupResult, "INVALID VALUE")
   )
)</f>
        <v>Empty Row</v>
      </c>
      <c r="G346" s="28" t="str">
        <f t="shared" ca="1" si="5"/>
        <v>Empty Row</v>
      </c>
      <c r="H346" s="29" t="str">
        <f>IF(D346="Empty Row", "Empty Row",
   _xlfn.LET(
       _xlpm.lookupResult, _xlfn.XLOOKUP(D346, RawDataTable[Account Name and Number], RawDataTable[Valuation Amount], "MISSING VALUE"),
       IF(ISNUMBER(_xlpm.lookupResult), _xlpm.lookupResult, "INVALID VALUE")
   )
)</f>
        <v>Empty Row</v>
      </c>
      <c r="I346" s="2" t="str">
        <f>IF(D346="Empty Row", "Empty Row", IF(_xlfn.XLOOKUP(B346, MasterTable[IRA Custodian], MasterTable[Address], "")="", "NO STREET NAME FOUND", _xlfn.XLOOKUP(B346, MasterTable[IRA Custodian], MasterTable[Address], "")))</f>
        <v>Empty Row</v>
      </c>
      <c r="J346" s="2" t="str">
        <f>IF(D346="Empty Row", "Empty Row",
   IF(OR(
       _xlfn.XLOOKUP(B346, MasterTable[IRA Custodian], MasterTable[City], "")="",
       _xlfn.XLOOKUP(B346, MasterTable[IRA Custodian], MasterTable[State], "")="",
       _xlfn.XLOOKUP(B346, MasterTable[IRA Custodian], MasterTable[Zip], "")=""),
       "INCOMPLETE ADDRESS",
       _xlfn.CONCAT(
           _xlfn.XLOOKUP(B346, MasterTable[IRA Custodian], MasterTable[City], ""), ", ",
           _xlfn.XLOOKUP(B346, MasterTable[IRA Custodian], MasterTable[State], ""), " ",
           _xlfn.XLOOKUP(B346, MasterTable[IRA Custodian], MasterTable[Zip], "")
       )
   )
)</f>
        <v>Empty Row</v>
      </c>
    </row>
    <row r="347" spans="1:10" x14ac:dyDescent="0.25">
      <c r="A347" t="str">
        <f>IF(D347="Empty Row", "Empty Row",
   _xlfn.LET(
       _xlpm.lookupResult, _xlfn.XLOOKUP(D347, RawDataTable[Account Name and Number], RawDataTable[Entity], "RAW DATA MISSING"),
       IF(ISBLANK(_xlpm.lookupResult), "RAW DATA MISSING", _xlpm.lookupResult)
   )
)</f>
        <v>Empty Row</v>
      </c>
      <c r="B347" t="str">
        <f>IF(D347="Empty Row", "Empty Row",
   _xlfn.LET(
       _xlpm.rawDataLookup, _xlfn.XLOOKUP(D347,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47" s="56" t="str" cm="1">
        <f t="array" ref="C347">IF(D347="Empty Row", "Empty Row",
   IF(COUNTIF('Name Mapping'!H:AD, D347) &gt; 0,
      INDEX('Name Mapping'!F:F, MATCH(TRUE, MMULT(--('Name Mapping'!H:AD=D347), TRANSPOSE(COLUMN('Name Mapping'!H:AD)^0)) &gt; 0, 0)),
      "")
)</f>
        <v>Empty Row</v>
      </c>
      <c r="D347" t="str">
        <f>IF(RawDataTable[[#This Row],[Account Name and Number]]&lt;&gt;"", RawDataTable[[#This Row],[Account Name and Number]], "Empty Row")</f>
        <v>Empty Row</v>
      </c>
      <c r="E347" s="28" t="str">
        <f>IF(D347="Empty Row", "Empty Row",
   _xlfn.LET(
       _xlpm.lookupResult, _xlfn.XLOOKUP(D347, RawDataTable[Account Name and Number], RawDataTable[Investment Date], "MISSING VALUE"),
       IF(ISNUMBER(_xlpm.lookupResult), _xlpm.lookupResult, "INVALID VALUE")
   )
)</f>
        <v>Empty Row</v>
      </c>
      <c r="F347" s="29" t="str">
        <f>IF(D347="Empty Row", "Empty Row",
   _xlfn.LET(
       _xlpm.lookupResult, _xlfn.XLOOKUP(D347, RawDataTable[Account Name and Number], RawDataTable[Investment Amount], "MISSING VALUE"),
       IF(ISNUMBER(_xlpm.lookupResult), _xlpm.lookupResult, "INVALID VALUE")
   )
)</f>
        <v>Empty Row</v>
      </c>
      <c r="G347" s="28" t="str">
        <f t="shared" ca="1" si="5"/>
        <v>Empty Row</v>
      </c>
      <c r="H347" s="29" t="str">
        <f>IF(D347="Empty Row", "Empty Row",
   _xlfn.LET(
       _xlpm.lookupResult, _xlfn.XLOOKUP(D347, RawDataTable[Account Name and Number], RawDataTable[Valuation Amount], "MISSING VALUE"),
       IF(ISNUMBER(_xlpm.lookupResult), _xlpm.lookupResult, "INVALID VALUE")
   )
)</f>
        <v>Empty Row</v>
      </c>
      <c r="I347" s="2" t="str">
        <f>IF(D347="Empty Row", "Empty Row", IF(_xlfn.XLOOKUP(B347, MasterTable[IRA Custodian], MasterTable[Address], "")="", "NO STREET NAME FOUND", _xlfn.XLOOKUP(B347, MasterTable[IRA Custodian], MasterTable[Address], "")))</f>
        <v>Empty Row</v>
      </c>
      <c r="J347" s="2" t="str">
        <f>IF(D347="Empty Row", "Empty Row",
   IF(OR(
       _xlfn.XLOOKUP(B347, MasterTable[IRA Custodian], MasterTable[City], "")="",
       _xlfn.XLOOKUP(B347, MasterTable[IRA Custodian], MasterTable[State], "")="",
       _xlfn.XLOOKUP(B347, MasterTable[IRA Custodian], MasterTable[Zip], "")=""),
       "INCOMPLETE ADDRESS",
       _xlfn.CONCAT(
           _xlfn.XLOOKUP(B347, MasterTable[IRA Custodian], MasterTable[City], ""), ", ",
           _xlfn.XLOOKUP(B347, MasterTable[IRA Custodian], MasterTable[State], ""), " ",
           _xlfn.XLOOKUP(B347, MasterTable[IRA Custodian], MasterTable[Zip], "")
       )
   )
)</f>
        <v>Empty Row</v>
      </c>
    </row>
    <row r="348" spans="1:10" x14ac:dyDescent="0.25">
      <c r="A348" t="str">
        <f>IF(D348="Empty Row", "Empty Row",
   _xlfn.LET(
       _xlpm.lookupResult, _xlfn.XLOOKUP(D348, RawDataTable[Account Name and Number], RawDataTable[Entity], "RAW DATA MISSING"),
       IF(ISBLANK(_xlpm.lookupResult), "RAW DATA MISSING", _xlpm.lookupResult)
   )
)</f>
        <v>Empty Row</v>
      </c>
      <c r="B348" t="str">
        <f>IF(D348="Empty Row", "Empty Row",
   _xlfn.LET(
       _xlpm.rawDataLookup, _xlfn.XLOOKUP(D348,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48" s="56" t="str" cm="1">
        <f t="array" ref="C348">IF(D348="Empty Row", "Empty Row",
   IF(COUNTIF('Name Mapping'!H:AD, D348) &gt; 0,
      INDEX('Name Mapping'!F:F, MATCH(TRUE, MMULT(--('Name Mapping'!H:AD=D348), TRANSPOSE(COLUMN('Name Mapping'!H:AD)^0)) &gt; 0, 0)),
      "")
)</f>
        <v>Empty Row</v>
      </c>
      <c r="D348" t="str">
        <f>IF(RawDataTable[[#This Row],[Account Name and Number]]&lt;&gt;"", RawDataTable[[#This Row],[Account Name and Number]], "Empty Row")</f>
        <v>Empty Row</v>
      </c>
      <c r="E348" s="28" t="str">
        <f>IF(D348="Empty Row", "Empty Row",
   _xlfn.LET(
       _xlpm.lookupResult, _xlfn.XLOOKUP(D348, RawDataTable[Account Name and Number], RawDataTable[Investment Date], "MISSING VALUE"),
       IF(ISNUMBER(_xlpm.lookupResult), _xlpm.lookupResult, "INVALID VALUE")
   )
)</f>
        <v>Empty Row</v>
      </c>
      <c r="F348" s="29" t="str">
        <f>IF(D348="Empty Row", "Empty Row",
   _xlfn.LET(
       _xlpm.lookupResult, _xlfn.XLOOKUP(D348, RawDataTable[Account Name and Number], RawDataTable[Investment Amount], "MISSING VALUE"),
       IF(ISNUMBER(_xlpm.lookupResult), _xlpm.lookupResult, "INVALID VALUE")
   )
)</f>
        <v>Empty Row</v>
      </c>
      <c r="G348" s="28" t="str">
        <f t="shared" ca="1" si="5"/>
        <v>Empty Row</v>
      </c>
      <c r="H348" s="29" t="str">
        <f>IF(D348="Empty Row", "Empty Row",
   _xlfn.LET(
       _xlpm.lookupResult, _xlfn.XLOOKUP(D348, RawDataTable[Account Name and Number], RawDataTable[Valuation Amount], "MISSING VALUE"),
       IF(ISNUMBER(_xlpm.lookupResult), _xlpm.lookupResult, "INVALID VALUE")
   )
)</f>
        <v>Empty Row</v>
      </c>
      <c r="I348" s="2" t="str">
        <f>IF(D348="Empty Row", "Empty Row", IF(_xlfn.XLOOKUP(B348, MasterTable[IRA Custodian], MasterTable[Address], "")="", "NO STREET NAME FOUND", _xlfn.XLOOKUP(B348, MasterTable[IRA Custodian], MasterTable[Address], "")))</f>
        <v>Empty Row</v>
      </c>
      <c r="J348" s="2" t="str">
        <f>IF(D348="Empty Row", "Empty Row",
   IF(OR(
       _xlfn.XLOOKUP(B348, MasterTable[IRA Custodian], MasterTable[City], "")="",
       _xlfn.XLOOKUP(B348, MasterTable[IRA Custodian], MasterTable[State], "")="",
       _xlfn.XLOOKUP(B348, MasterTable[IRA Custodian], MasterTable[Zip], "")=""),
       "INCOMPLETE ADDRESS",
       _xlfn.CONCAT(
           _xlfn.XLOOKUP(B348, MasterTable[IRA Custodian], MasterTable[City], ""), ", ",
           _xlfn.XLOOKUP(B348, MasterTable[IRA Custodian], MasterTable[State], ""), " ",
           _xlfn.XLOOKUP(B348, MasterTable[IRA Custodian], MasterTable[Zip], "")
       )
   )
)</f>
        <v>Empty Row</v>
      </c>
    </row>
    <row r="349" spans="1:10" x14ac:dyDescent="0.25">
      <c r="A349" t="str">
        <f>IF(D349="Empty Row", "Empty Row",
   _xlfn.LET(
       _xlpm.lookupResult, _xlfn.XLOOKUP(D349, RawDataTable[Account Name and Number], RawDataTable[Entity], "RAW DATA MISSING"),
       IF(ISBLANK(_xlpm.lookupResult), "RAW DATA MISSING", _xlpm.lookupResult)
   )
)</f>
        <v>Empty Row</v>
      </c>
      <c r="B349" t="str">
        <f>IF(D349="Empty Row", "Empty Row",
   _xlfn.LET(
       _xlpm.rawDataLookup, _xlfn.XLOOKUP(D349,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49" s="56" t="str" cm="1">
        <f t="array" ref="C349">IF(D349="Empty Row", "Empty Row",
   IF(COUNTIF('Name Mapping'!H:AD, D349) &gt; 0,
      INDEX('Name Mapping'!F:F, MATCH(TRUE, MMULT(--('Name Mapping'!H:AD=D349), TRANSPOSE(COLUMN('Name Mapping'!H:AD)^0)) &gt; 0, 0)),
      "")
)</f>
        <v>Empty Row</v>
      </c>
      <c r="D349" t="str">
        <f>IF(RawDataTable[[#This Row],[Account Name and Number]]&lt;&gt;"", RawDataTable[[#This Row],[Account Name and Number]], "Empty Row")</f>
        <v>Empty Row</v>
      </c>
      <c r="E349" s="28" t="str">
        <f>IF(D349="Empty Row", "Empty Row",
   _xlfn.LET(
       _xlpm.lookupResult, _xlfn.XLOOKUP(D349, RawDataTable[Account Name and Number], RawDataTable[Investment Date], "MISSING VALUE"),
       IF(ISNUMBER(_xlpm.lookupResult), _xlpm.lookupResult, "INVALID VALUE")
   )
)</f>
        <v>Empty Row</v>
      </c>
      <c r="F349" s="29" t="str">
        <f>IF(D349="Empty Row", "Empty Row",
   _xlfn.LET(
       _xlpm.lookupResult, _xlfn.XLOOKUP(D349, RawDataTable[Account Name and Number], RawDataTable[Investment Amount], "MISSING VALUE"),
       IF(ISNUMBER(_xlpm.lookupResult), _xlpm.lookupResult, "INVALID VALUE")
   )
)</f>
        <v>Empty Row</v>
      </c>
      <c r="G349" s="28" t="str">
        <f t="shared" ca="1" si="5"/>
        <v>Empty Row</v>
      </c>
      <c r="H349" s="29" t="str">
        <f>IF(D349="Empty Row", "Empty Row",
   _xlfn.LET(
       _xlpm.lookupResult, _xlfn.XLOOKUP(D349, RawDataTable[Account Name and Number], RawDataTable[Valuation Amount], "MISSING VALUE"),
       IF(ISNUMBER(_xlpm.lookupResult), _xlpm.lookupResult, "INVALID VALUE")
   )
)</f>
        <v>Empty Row</v>
      </c>
      <c r="I349" s="2" t="str">
        <f>IF(D349="Empty Row", "Empty Row", IF(_xlfn.XLOOKUP(B349, MasterTable[IRA Custodian], MasterTable[Address], "")="", "NO STREET NAME FOUND", _xlfn.XLOOKUP(B349, MasterTable[IRA Custodian], MasterTable[Address], "")))</f>
        <v>Empty Row</v>
      </c>
      <c r="J349" s="2" t="str">
        <f>IF(D349="Empty Row", "Empty Row",
   IF(OR(
       _xlfn.XLOOKUP(B349, MasterTable[IRA Custodian], MasterTable[City], "")="",
       _xlfn.XLOOKUP(B349, MasterTable[IRA Custodian], MasterTable[State], "")="",
       _xlfn.XLOOKUP(B349, MasterTable[IRA Custodian], MasterTable[Zip], "")=""),
       "INCOMPLETE ADDRESS",
       _xlfn.CONCAT(
           _xlfn.XLOOKUP(B349, MasterTable[IRA Custodian], MasterTable[City], ""), ", ",
           _xlfn.XLOOKUP(B349, MasterTable[IRA Custodian], MasterTable[State], ""), " ",
           _xlfn.XLOOKUP(B349, MasterTable[IRA Custodian], MasterTable[Zip], "")
       )
   )
)</f>
        <v>Empty Row</v>
      </c>
    </row>
    <row r="350" spans="1:10" x14ac:dyDescent="0.25">
      <c r="A350" t="str">
        <f>IF(D350="Empty Row", "Empty Row",
   _xlfn.LET(
       _xlpm.lookupResult, _xlfn.XLOOKUP(D350, RawDataTable[Account Name and Number], RawDataTable[Entity], "RAW DATA MISSING"),
       IF(ISBLANK(_xlpm.lookupResult), "RAW DATA MISSING", _xlpm.lookupResult)
   )
)</f>
        <v>Empty Row</v>
      </c>
      <c r="B350" t="str">
        <f>IF(D350="Empty Row", "Empty Row",
   _xlfn.LET(
       _xlpm.rawDataLookup, _xlfn.XLOOKUP(D350,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50" s="56" t="str" cm="1">
        <f t="array" ref="C350">IF(D350="Empty Row", "Empty Row",
   IF(COUNTIF('Name Mapping'!H:AD, D350) &gt; 0,
      INDEX('Name Mapping'!F:F, MATCH(TRUE, MMULT(--('Name Mapping'!H:AD=D350), TRANSPOSE(COLUMN('Name Mapping'!H:AD)^0)) &gt; 0, 0)),
      "")
)</f>
        <v>Empty Row</v>
      </c>
      <c r="D350" t="str">
        <f>IF(RawDataTable[[#This Row],[Account Name and Number]]&lt;&gt;"", RawDataTable[[#This Row],[Account Name and Number]], "Empty Row")</f>
        <v>Empty Row</v>
      </c>
      <c r="E350" s="28" t="str">
        <f>IF(D350="Empty Row", "Empty Row",
   _xlfn.LET(
       _xlpm.lookupResult, _xlfn.XLOOKUP(D350, RawDataTable[Account Name and Number], RawDataTable[Investment Date], "MISSING VALUE"),
       IF(ISNUMBER(_xlpm.lookupResult), _xlpm.lookupResult, "INVALID VALUE")
   )
)</f>
        <v>Empty Row</v>
      </c>
      <c r="F350" s="29" t="str">
        <f>IF(D350="Empty Row", "Empty Row",
   _xlfn.LET(
       _xlpm.lookupResult, _xlfn.XLOOKUP(D350, RawDataTable[Account Name and Number], RawDataTable[Investment Amount], "MISSING VALUE"),
       IF(ISNUMBER(_xlpm.lookupResult), _xlpm.lookupResult, "INVALID VALUE")
   )
)</f>
        <v>Empty Row</v>
      </c>
      <c r="G350" s="28" t="str">
        <f t="shared" ca="1" si="5"/>
        <v>Empty Row</v>
      </c>
      <c r="H350" s="29" t="str">
        <f>IF(D350="Empty Row", "Empty Row",
   _xlfn.LET(
       _xlpm.lookupResult, _xlfn.XLOOKUP(D350, RawDataTable[Account Name and Number], RawDataTable[Valuation Amount], "MISSING VALUE"),
       IF(ISNUMBER(_xlpm.lookupResult), _xlpm.lookupResult, "INVALID VALUE")
   )
)</f>
        <v>Empty Row</v>
      </c>
      <c r="I350" s="2" t="str">
        <f>IF(D350="Empty Row", "Empty Row", IF(_xlfn.XLOOKUP(B350, MasterTable[IRA Custodian], MasterTable[Address], "")="", "NO STREET NAME FOUND", _xlfn.XLOOKUP(B350, MasterTable[IRA Custodian], MasterTable[Address], "")))</f>
        <v>Empty Row</v>
      </c>
      <c r="J350" s="2" t="str">
        <f>IF(D350="Empty Row", "Empty Row",
   IF(OR(
       _xlfn.XLOOKUP(B350, MasterTable[IRA Custodian], MasterTable[City], "")="",
       _xlfn.XLOOKUP(B350, MasterTable[IRA Custodian], MasterTable[State], "")="",
       _xlfn.XLOOKUP(B350, MasterTable[IRA Custodian], MasterTable[Zip], "")=""),
       "INCOMPLETE ADDRESS",
       _xlfn.CONCAT(
           _xlfn.XLOOKUP(B350, MasterTable[IRA Custodian], MasterTable[City], ""), ", ",
           _xlfn.XLOOKUP(B350, MasterTable[IRA Custodian], MasterTable[State], ""), " ",
           _xlfn.XLOOKUP(B350, MasterTable[IRA Custodian], MasterTable[Zip], "")
       )
   )
)</f>
        <v>Empty Row</v>
      </c>
    </row>
    <row r="351" spans="1:10" x14ac:dyDescent="0.25">
      <c r="A351" t="str">
        <f>IF(D351="Empty Row", "Empty Row",
   _xlfn.LET(
       _xlpm.lookupResult, _xlfn.XLOOKUP(D351, RawDataTable[Account Name and Number], RawDataTable[Entity], "RAW DATA MISSING"),
       IF(ISBLANK(_xlpm.lookupResult), "RAW DATA MISSING", _xlpm.lookupResult)
   )
)</f>
        <v>Empty Row</v>
      </c>
      <c r="B351" t="str">
        <f>IF(D351="Empty Row", "Empty Row",
   _xlfn.LET(
       _xlpm.rawDataLookup, _xlfn.XLOOKUP(D351,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51" s="56" t="str" cm="1">
        <f t="array" ref="C351">IF(D351="Empty Row", "Empty Row",
   IF(COUNTIF('Name Mapping'!H:AD, D351) &gt; 0,
      INDEX('Name Mapping'!F:F, MATCH(TRUE, MMULT(--('Name Mapping'!H:AD=D351), TRANSPOSE(COLUMN('Name Mapping'!H:AD)^0)) &gt; 0, 0)),
      "")
)</f>
        <v>Empty Row</v>
      </c>
      <c r="D351" t="str">
        <f>IF(RawDataTable[[#This Row],[Account Name and Number]]&lt;&gt;"", RawDataTable[[#This Row],[Account Name and Number]], "Empty Row")</f>
        <v>Empty Row</v>
      </c>
      <c r="E351" s="28" t="str">
        <f>IF(D351="Empty Row", "Empty Row",
   _xlfn.LET(
       _xlpm.lookupResult, _xlfn.XLOOKUP(D351, RawDataTable[Account Name and Number], RawDataTable[Investment Date], "MISSING VALUE"),
       IF(ISNUMBER(_xlpm.lookupResult), _xlpm.lookupResult, "INVALID VALUE")
   )
)</f>
        <v>Empty Row</v>
      </c>
      <c r="F351" s="29" t="str">
        <f>IF(D351="Empty Row", "Empty Row",
   _xlfn.LET(
       _xlpm.lookupResult, _xlfn.XLOOKUP(D351, RawDataTable[Account Name and Number], RawDataTable[Investment Amount], "MISSING VALUE"),
       IF(ISNUMBER(_xlpm.lookupResult), _xlpm.lookupResult, "INVALID VALUE")
   )
)</f>
        <v>Empty Row</v>
      </c>
      <c r="G351" s="28" t="str">
        <f t="shared" ca="1" si="5"/>
        <v>Empty Row</v>
      </c>
      <c r="H351" s="29" t="str">
        <f>IF(D351="Empty Row", "Empty Row",
   _xlfn.LET(
       _xlpm.lookupResult, _xlfn.XLOOKUP(D351, RawDataTable[Account Name and Number], RawDataTable[Valuation Amount], "MISSING VALUE"),
       IF(ISNUMBER(_xlpm.lookupResult), _xlpm.lookupResult, "INVALID VALUE")
   )
)</f>
        <v>Empty Row</v>
      </c>
      <c r="I351" s="2" t="str">
        <f>IF(D351="Empty Row", "Empty Row", IF(_xlfn.XLOOKUP(B351, MasterTable[IRA Custodian], MasterTable[Address], "")="", "NO STREET NAME FOUND", _xlfn.XLOOKUP(B351, MasterTable[IRA Custodian], MasterTable[Address], "")))</f>
        <v>Empty Row</v>
      </c>
      <c r="J351" s="2" t="str">
        <f>IF(D351="Empty Row", "Empty Row",
   IF(OR(
       _xlfn.XLOOKUP(B351, MasterTable[IRA Custodian], MasterTable[City], "")="",
       _xlfn.XLOOKUP(B351, MasterTable[IRA Custodian], MasterTable[State], "")="",
       _xlfn.XLOOKUP(B351, MasterTable[IRA Custodian], MasterTable[Zip], "")=""),
       "INCOMPLETE ADDRESS",
       _xlfn.CONCAT(
           _xlfn.XLOOKUP(B351, MasterTable[IRA Custodian], MasterTable[City], ""), ", ",
           _xlfn.XLOOKUP(B351, MasterTable[IRA Custodian], MasterTable[State], ""), " ",
           _xlfn.XLOOKUP(B351, MasterTable[IRA Custodian], MasterTable[Zip], "")
       )
   )
)</f>
        <v>Empty Row</v>
      </c>
    </row>
    <row r="352" spans="1:10" x14ac:dyDescent="0.25">
      <c r="A352" t="str">
        <f>IF(D352="Empty Row", "Empty Row",
   _xlfn.LET(
       _xlpm.lookupResult, _xlfn.XLOOKUP(D352, RawDataTable[Account Name and Number], RawDataTable[Entity], "RAW DATA MISSING"),
       IF(ISBLANK(_xlpm.lookupResult), "RAW DATA MISSING", _xlpm.lookupResult)
   )
)</f>
        <v>Empty Row</v>
      </c>
      <c r="B352" t="str">
        <f>IF(D352="Empty Row", "Empty Row",
   _xlfn.LET(
       _xlpm.rawDataLookup, _xlfn.XLOOKUP(D352,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52" s="56" t="str" cm="1">
        <f t="array" ref="C352">IF(D352="Empty Row", "Empty Row",
   IF(COUNTIF('Name Mapping'!H:AD, D352) &gt; 0,
      INDEX('Name Mapping'!F:F, MATCH(TRUE, MMULT(--('Name Mapping'!H:AD=D352), TRANSPOSE(COLUMN('Name Mapping'!H:AD)^0)) &gt; 0, 0)),
      "")
)</f>
        <v>Empty Row</v>
      </c>
      <c r="D352" t="str">
        <f>IF(RawDataTable[[#This Row],[Account Name and Number]]&lt;&gt;"", RawDataTable[[#This Row],[Account Name and Number]], "Empty Row")</f>
        <v>Empty Row</v>
      </c>
      <c r="E352" s="28" t="str">
        <f>IF(D352="Empty Row", "Empty Row",
   _xlfn.LET(
       _xlpm.lookupResult, _xlfn.XLOOKUP(D352, RawDataTable[Account Name and Number], RawDataTable[Investment Date], "MISSING VALUE"),
       IF(ISNUMBER(_xlpm.lookupResult), _xlpm.lookupResult, "INVALID VALUE")
   )
)</f>
        <v>Empty Row</v>
      </c>
      <c r="F352" s="29" t="str">
        <f>IF(D352="Empty Row", "Empty Row",
   _xlfn.LET(
       _xlpm.lookupResult, _xlfn.XLOOKUP(D352, RawDataTable[Account Name and Number], RawDataTable[Investment Amount], "MISSING VALUE"),
       IF(ISNUMBER(_xlpm.lookupResult), _xlpm.lookupResult, "INVALID VALUE")
   )
)</f>
        <v>Empty Row</v>
      </c>
      <c r="G352" s="28" t="str">
        <f t="shared" ca="1" si="5"/>
        <v>Empty Row</v>
      </c>
      <c r="H352" s="29" t="str">
        <f>IF(D352="Empty Row", "Empty Row",
   _xlfn.LET(
       _xlpm.lookupResult, _xlfn.XLOOKUP(D352, RawDataTable[Account Name and Number], RawDataTable[Valuation Amount], "MISSING VALUE"),
       IF(ISNUMBER(_xlpm.lookupResult), _xlpm.lookupResult, "INVALID VALUE")
   )
)</f>
        <v>Empty Row</v>
      </c>
      <c r="I352" s="2" t="str">
        <f>IF(D352="Empty Row", "Empty Row", IF(_xlfn.XLOOKUP(B352, MasterTable[IRA Custodian], MasterTable[Address], "")="", "NO STREET NAME FOUND", _xlfn.XLOOKUP(B352, MasterTable[IRA Custodian], MasterTable[Address], "")))</f>
        <v>Empty Row</v>
      </c>
      <c r="J352" s="2" t="str">
        <f>IF(D352="Empty Row", "Empty Row",
   IF(OR(
       _xlfn.XLOOKUP(B352, MasterTable[IRA Custodian], MasterTable[City], "")="",
       _xlfn.XLOOKUP(B352, MasterTable[IRA Custodian], MasterTable[State], "")="",
       _xlfn.XLOOKUP(B352, MasterTable[IRA Custodian], MasterTable[Zip], "")=""),
       "INCOMPLETE ADDRESS",
       _xlfn.CONCAT(
           _xlfn.XLOOKUP(B352, MasterTable[IRA Custodian], MasterTable[City], ""), ", ",
           _xlfn.XLOOKUP(B352, MasterTable[IRA Custodian], MasterTable[State], ""), " ",
           _xlfn.XLOOKUP(B352, MasterTable[IRA Custodian], MasterTable[Zip], "")
       )
   )
)</f>
        <v>Empty Row</v>
      </c>
    </row>
    <row r="353" spans="1:10" x14ac:dyDescent="0.25">
      <c r="A353" t="str">
        <f>IF(D353="Empty Row", "Empty Row",
   _xlfn.LET(
       _xlpm.lookupResult, _xlfn.XLOOKUP(D353, RawDataTable[Account Name and Number], RawDataTable[Entity], "RAW DATA MISSING"),
       IF(ISBLANK(_xlpm.lookupResult), "RAW DATA MISSING", _xlpm.lookupResult)
   )
)</f>
        <v>Empty Row</v>
      </c>
      <c r="B353" t="str">
        <f>IF(D353="Empty Row", "Empty Row",
   _xlfn.LET(
       _xlpm.rawDataLookup, _xlfn.XLOOKUP(D353,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53" s="56" t="str" cm="1">
        <f t="array" ref="C353">IF(D353="Empty Row", "Empty Row",
   IF(COUNTIF('Name Mapping'!H:AD, D353) &gt; 0,
      INDEX('Name Mapping'!F:F, MATCH(TRUE, MMULT(--('Name Mapping'!H:AD=D353), TRANSPOSE(COLUMN('Name Mapping'!H:AD)^0)) &gt; 0, 0)),
      "")
)</f>
        <v>Empty Row</v>
      </c>
      <c r="D353" t="str">
        <f>IF(RawDataTable[[#This Row],[Account Name and Number]]&lt;&gt;"", RawDataTable[[#This Row],[Account Name and Number]], "Empty Row")</f>
        <v>Empty Row</v>
      </c>
      <c r="E353" s="28" t="str">
        <f>IF(D353="Empty Row", "Empty Row",
   _xlfn.LET(
       _xlpm.lookupResult, _xlfn.XLOOKUP(D353, RawDataTable[Account Name and Number], RawDataTable[Investment Date], "MISSING VALUE"),
       IF(ISNUMBER(_xlpm.lookupResult), _xlpm.lookupResult, "INVALID VALUE")
   )
)</f>
        <v>Empty Row</v>
      </c>
      <c r="F353" s="29" t="str">
        <f>IF(D353="Empty Row", "Empty Row",
   _xlfn.LET(
       _xlpm.lookupResult, _xlfn.XLOOKUP(D353, RawDataTable[Account Name and Number], RawDataTable[Investment Amount], "MISSING VALUE"),
       IF(ISNUMBER(_xlpm.lookupResult), _xlpm.lookupResult, "INVALID VALUE")
   )
)</f>
        <v>Empty Row</v>
      </c>
      <c r="G353" s="28" t="str">
        <f t="shared" ca="1" si="5"/>
        <v>Empty Row</v>
      </c>
      <c r="H353" s="29" t="str">
        <f>IF(D353="Empty Row", "Empty Row",
   _xlfn.LET(
       _xlpm.lookupResult, _xlfn.XLOOKUP(D353, RawDataTable[Account Name and Number], RawDataTable[Valuation Amount], "MISSING VALUE"),
       IF(ISNUMBER(_xlpm.lookupResult), _xlpm.lookupResult, "INVALID VALUE")
   )
)</f>
        <v>Empty Row</v>
      </c>
      <c r="I353" s="2" t="str">
        <f>IF(D353="Empty Row", "Empty Row", IF(_xlfn.XLOOKUP(B353, MasterTable[IRA Custodian], MasterTable[Address], "")="", "NO STREET NAME FOUND", _xlfn.XLOOKUP(B353, MasterTable[IRA Custodian], MasterTable[Address], "")))</f>
        <v>Empty Row</v>
      </c>
      <c r="J353" s="2" t="str">
        <f>IF(D353="Empty Row", "Empty Row",
   IF(OR(
       _xlfn.XLOOKUP(B353, MasterTable[IRA Custodian], MasterTable[City], "")="",
       _xlfn.XLOOKUP(B353, MasterTable[IRA Custodian], MasterTable[State], "")="",
       _xlfn.XLOOKUP(B353, MasterTable[IRA Custodian], MasterTable[Zip], "")=""),
       "INCOMPLETE ADDRESS",
       _xlfn.CONCAT(
           _xlfn.XLOOKUP(B353, MasterTable[IRA Custodian], MasterTable[City], ""), ", ",
           _xlfn.XLOOKUP(B353, MasterTable[IRA Custodian], MasterTable[State], ""), " ",
           _xlfn.XLOOKUP(B353, MasterTable[IRA Custodian], MasterTable[Zip], "")
       )
   )
)</f>
        <v>Empty Row</v>
      </c>
    </row>
    <row r="354" spans="1:10" x14ac:dyDescent="0.25">
      <c r="A354" t="str">
        <f>IF(D354="Empty Row", "Empty Row",
   _xlfn.LET(
       _xlpm.lookupResult, _xlfn.XLOOKUP(D354, RawDataTable[Account Name and Number], RawDataTable[Entity], "RAW DATA MISSING"),
       IF(ISBLANK(_xlpm.lookupResult), "RAW DATA MISSING", _xlpm.lookupResult)
   )
)</f>
        <v>Empty Row</v>
      </c>
      <c r="B354" t="str">
        <f>IF(D354="Empty Row", "Empty Row",
   _xlfn.LET(
       _xlpm.rawDataLookup, _xlfn.XLOOKUP(D354,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54" s="56" t="str" cm="1">
        <f t="array" ref="C354">IF(D354="Empty Row", "Empty Row",
   IF(COUNTIF('Name Mapping'!H:AD, D354) &gt; 0,
      INDEX('Name Mapping'!F:F, MATCH(TRUE, MMULT(--('Name Mapping'!H:AD=D354), TRANSPOSE(COLUMN('Name Mapping'!H:AD)^0)) &gt; 0, 0)),
      "")
)</f>
        <v>Empty Row</v>
      </c>
      <c r="D354" t="str">
        <f>IF(RawDataTable[[#This Row],[Account Name and Number]]&lt;&gt;"", RawDataTable[[#This Row],[Account Name and Number]], "Empty Row")</f>
        <v>Empty Row</v>
      </c>
      <c r="E354" s="28" t="str">
        <f>IF(D354="Empty Row", "Empty Row",
   _xlfn.LET(
       _xlpm.lookupResult, _xlfn.XLOOKUP(D354, RawDataTable[Account Name and Number], RawDataTable[Investment Date], "MISSING VALUE"),
       IF(ISNUMBER(_xlpm.lookupResult), _xlpm.lookupResult, "INVALID VALUE")
   )
)</f>
        <v>Empty Row</v>
      </c>
      <c r="F354" s="29" t="str">
        <f>IF(D354="Empty Row", "Empty Row",
   _xlfn.LET(
       _xlpm.lookupResult, _xlfn.XLOOKUP(D354, RawDataTable[Account Name and Number], RawDataTable[Investment Amount], "MISSING VALUE"),
       IF(ISNUMBER(_xlpm.lookupResult), _xlpm.lookupResult, "INVALID VALUE")
   )
)</f>
        <v>Empty Row</v>
      </c>
      <c r="G354" s="28" t="str">
        <f t="shared" ca="1" si="5"/>
        <v>Empty Row</v>
      </c>
      <c r="H354" s="29" t="str">
        <f>IF(D354="Empty Row", "Empty Row",
   _xlfn.LET(
       _xlpm.lookupResult, _xlfn.XLOOKUP(D354, RawDataTable[Account Name and Number], RawDataTable[Valuation Amount], "MISSING VALUE"),
       IF(ISNUMBER(_xlpm.lookupResult), _xlpm.lookupResult, "INVALID VALUE")
   )
)</f>
        <v>Empty Row</v>
      </c>
      <c r="I354" s="2" t="str">
        <f>IF(D354="Empty Row", "Empty Row", IF(_xlfn.XLOOKUP(B354, MasterTable[IRA Custodian], MasterTable[Address], "")="", "NO STREET NAME FOUND", _xlfn.XLOOKUP(B354, MasterTable[IRA Custodian], MasterTable[Address], "")))</f>
        <v>Empty Row</v>
      </c>
      <c r="J354" s="2" t="str">
        <f>IF(D354="Empty Row", "Empty Row",
   IF(OR(
       _xlfn.XLOOKUP(B354, MasterTable[IRA Custodian], MasterTable[City], "")="",
       _xlfn.XLOOKUP(B354, MasterTable[IRA Custodian], MasterTable[State], "")="",
       _xlfn.XLOOKUP(B354, MasterTable[IRA Custodian], MasterTable[Zip], "")=""),
       "INCOMPLETE ADDRESS",
       _xlfn.CONCAT(
           _xlfn.XLOOKUP(B354, MasterTable[IRA Custodian], MasterTable[City], ""), ", ",
           _xlfn.XLOOKUP(B354, MasterTable[IRA Custodian], MasterTable[State], ""), " ",
           _xlfn.XLOOKUP(B354, MasterTable[IRA Custodian], MasterTable[Zip], "")
       )
   )
)</f>
        <v>Empty Row</v>
      </c>
    </row>
    <row r="355" spans="1:10" x14ac:dyDescent="0.25">
      <c r="A355" t="str">
        <f>IF(D355="Empty Row", "Empty Row",
   _xlfn.LET(
       _xlpm.lookupResult, _xlfn.XLOOKUP(D355, RawDataTable[Account Name and Number], RawDataTable[Entity], "RAW DATA MISSING"),
       IF(ISBLANK(_xlpm.lookupResult), "RAW DATA MISSING", _xlpm.lookupResult)
   )
)</f>
        <v>Empty Row</v>
      </c>
      <c r="B355" t="str">
        <f>IF(D355="Empty Row", "Empty Row",
   _xlfn.LET(
       _xlpm.rawDataLookup, _xlfn.XLOOKUP(D355,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55" s="56" t="str" cm="1">
        <f t="array" ref="C355">IF(D355="Empty Row", "Empty Row",
   IF(COUNTIF('Name Mapping'!H:AD, D355) &gt; 0,
      INDEX('Name Mapping'!F:F, MATCH(TRUE, MMULT(--('Name Mapping'!H:AD=D355), TRANSPOSE(COLUMN('Name Mapping'!H:AD)^0)) &gt; 0, 0)),
      "")
)</f>
        <v>Empty Row</v>
      </c>
      <c r="D355" t="str">
        <f>IF(RawDataTable[[#This Row],[Account Name and Number]]&lt;&gt;"", RawDataTable[[#This Row],[Account Name and Number]], "Empty Row")</f>
        <v>Empty Row</v>
      </c>
      <c r="E355" s="28" t="str">
        <f>IF(D355="Empty Row", "Empty Row",
   _xlfn.LET(
       _xlpm.lookupResult, _xlfn.XLOOKUP(D355, RawDataTable[Account Name and Number], RawDataTable[Investment Date], "MISSING VALUE"),
       IF(ISNUMBER(_xlpm.lookupResult), _xlpm.lookupResult, "INVALID VALUE")
   )
)</f>
        <v>Empty Row</v>
      </c>
      <c r="F355" s="29" t="str">
        <f>IF(D355="Empty Row", "Empty Row",
   _xlfn.LET(
       _xlpm.lookupResult, _xlfn.XLOOKUP(D355, RawDataTable[Account Name and Number], RawDataTable[Investment Amount], "MISSING VALUE"),
       IF(ISNUMBER(_xlpm.lookupResult), _xlpm.lookupResult, "INVALID VALUE")
   )
)</f>
        <v>Empty Row</v>
      </c>
      <c r="G355" s="28" t="str">
        <f t="shared" ca="1" si="5"/>
        <v>Empty Row</v>
      </c>
      <c r="H355" s="29" t="str">
        <f>IF(D355="Empty Row", "Empty Row",
   _xlfn.LET(
       _xlpm.lookupResult, _xlfn.XLOOKUP(D355, RawDataTable[Account Name and Number], RawDataTable[Valuation Amount], "MISSING VALUE"),
       IF(ISNUMBER(_xlpm.lookupResult), _xlpm.lookupResult, "INVALID VALUE")
   )
)</f>
        <v>Empty Row</v>
      </c>
      <c r="I355" s="2" t="str">
        <f>IF(D355="Empty Row", "Empty Row", IF(_xlfn.XLOOKUP(B355, MasterTable[IRA Custodian], MasterTable[Address], "")="", "NO STREET NAME FOUND", _xlfn.XLOOKUP(B355, MasterTable[IRA Custodian], MasterTable[Address], "")))</f>
        <v>Empty Row</v>
      </c>
      <c r="J355" s="2" t="str">
        <f>IF(D355="Empty Row", "Empty Row",
   IF(OR(
       _xlfn.XLOOKUP(B355, MasterTable[IRA Custodian], MasterTable[City], "")="",
       _xlfn.XLOOKUP(B355, MasterTable[IRA Custodian], MasterTable[State], "")="",
       _xlfn.XLOOKUP(B355, MasterTable[IRA Custodian], MasterTable[Zip], "")=""),
       "INCOMPLETE ADDRESS",
       _xlfn.CONCAT(
           _xlfn.XLOOKUP(B355, MasterTable[IRA Custodian], MasterTable[City], ""), ", ",
           _xlfn.XLOOKUP(B355, MasterTable[IRA Custodian], MasterTable[State], ""), " ",
           _xlfn.XLOOKUP(B355, MasterTable[IRA Custodian], MasterTable[Zip], "")
       )
   )
)</f>
        <v>Empty Row</v>
      </c>
    </row>
    <row r="356" spans="1:10" x14ac:dyDescent="0.25">
      <c r="A356" t="str">
        <f>IF(D356="Empty Row", "Empty Row",
   _xlfn.LET(
       _xlpm.lookupResult, _xlfn.XLOOKUP(D356, RawDataTable[Account Name and Number], RawDataTable[Entity], "RAW DATA MISSING"),
       IF(ISBLANK(_xlpm.lookupResult), "RAW DATA MISSING", _xlpm.lookupResult)
   )
)</f>
        <v>Empty Row</v>
      </c>
      <c r="B356" t="str">
        <f>IF(D356="Empty Row", "Empty Row",
   _xlfn.LET(
       _xlpm.rawDataLookup, _xlfn.XLOOKUP(D356,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56" s="56" t="str" cm="1">
        <f t="array" ref="C356">IF(D356="Empty Row", "Empty Row",
   IF(COUNTIF('Name Mapping'!H:AD, D356) &gt; 0,
      INDEX('Name Mapping'!F:F, MATCH(TRUE, MMULT(--('Name Mapping'!H:AD=D356), TRANSPOSE(COLUMN('Name Mapping'!H:AD)^0)) &gt; 0, 0)),
      "")
)</f>
        <v>Empty Row</v>
      </c>
      <c r="D356" t="str">
        <f>IF(RawDataTable[[#This Row],[Account Name and Number]]&lt;&gt;"", RawDataTable[[#This Row],[Account Name and Number]], "Empty Row")</f>
        <v>Empty Row</v>
      </c>
      <c r="E356" s="28" t="str">
        <f>IF(D356="Empty Row", "Empty Row",
   _xlfn.LET(
       _xlpm.lookupResult, _xlfn.XLOOKUP(D356, RawDataTable[Account Name and Number], RawDataTable[Investment Date], "MISSING VALUE"),
       IF(ISNUMBER(_xlpm.lookupResult), _xlpm.lookupResult, "INVALID VALUE")
   )
)</f>
        <v>Empty Row</v>
      </c>
      <c r="F356" s="29" t="str">
        <f>IF(D356="Empty Row", "Empty Row",
   _xlfn.LET(
       _xlpm.lookupResult, _xlfn.XLOOKUP(D356, RawDataTable[Account Name and Number], RawDataTable[Investment Amount], "MISSING VALUE"),
       IF(ISNUMBER(_xlpm.lookupResult), _xlpm.lookupResult, "INVALID VALUE")
   )
)</f>
        <v>Empty Row</v>
      </c>
      <c r="G356" s="28" t="str">
        <f t="shared" ca="1" si="5"/>
        <v>Empty Row</v>
      </c>
      <c r="H356" s="29" t="str">
        <f>IF(D356="Empty Row", "Empty Row",
   _xlfn.LET(
       _xlpm.lookupResult, _xlfn.XLOOKUP(D356, RawDataTable[Account Name and Number], RawDataTable[Valuation Amount], "MISSING VALUE"),
       IF(ISNUMBER(_xlpm.lookupResult), _xlpm.lookupResult, "INVALID VALUE")
   )
)</f>
        <v>Empty Row</v>
      </c>
      <c r="I356" s="2" t="str">
        <f>IF(D356="Empty Row", "Empty Row", IF(_xlfn.XLOOKUP(B356, MasterTable[IRA Custodian], MasterTable[Address], "")="", "NO STREET NAME FOUND", _xlfn.XLOOKUP(B356, MasterTable[IRA Custodian], MasterTable[Address], "")))</f>
        <v>Empty Row</v>
      </c>
      <c r="J356" s="2" t="str">
        <f>IF(D356="Empty Row", "Empty Row",
   IF(OR(
       _xlfn.XLOOKUP(B356, MasterTable[IRA Custodian], MasterTable[City], "")="",
       _xlfn.XLOOKUP(B356, MasterTable[IRA Custodian], MasterTable[State], "")="",
       _xlfn.XLOOKUP(B356, MasterTable[IRA Custodian], MasterTable[Zip], "")=""),
       "INCOMPLETE ADDRESS",
       _xlfn.CONCAT(
           _xlfn.XLOOKUP(B356, MasterTable[IRA Custodian], MasterTable[City], ""), ", ",
           _xlfn.XLOOKUP(B356, MasterTable[IRA Custodian], MasterTable[State], ""), " ",
           _xlfn.XLOOKUP(B356, MasterTable[IRA Custodian], MasterTable[Zip], "")
       )
   )
)</f>
        <v>Empty Row</v>
      </c>
    </row>
    <row r="357" spans="1:10" x14ac:dyDescent="0.25">
      <c r="A357" t="str">
        <f>IF(D357="Empty Row", "Empty Row",
   _xlfn.LET(
       _xlpm.lookupResult, _xlfn.XLOOKUP(D357, RawDataTable[Account Name and Number], RawDataTable[Entity], "RAW DATA MISSING"),
       IF(ISBLANK(_xlpm.lookupResult), "RAW DATA MISSING", _xlpm.lookupResult)
   )
)</f>
        <v>Empty Row</v>
      </c>
      <c r="B357" t="str">
        <f>IF(D357="Empty Row", "Empty Row",
   _xlfn.LET(
       _xlpm.rawDataLookup, _xlfn.XLOOKUP(D357,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57" s="56" t="str" cm="1">
        <f t="array" ref="C357">IF(D357="Empty Row", "Empty Row",
   IF(COUNTIF('Name Mapping'!H:AD, D357) &gt; 0,
      INDEX('Name Mapping'!F:F, MATCH(TRUE, MMULT(--('Name Mapping'!H:AD=D357), TRANSPOSE(COLUMN('Name Mapping'!H:AD)^0)) &gt; 0, 0)),
      "")
)</f>
        <v>Empty Row</v>
      </c>
      <c r="D357" t="str">
        <f>IF(RawDataTable[[#This Row],[Account Name and Number]]&lt;&gt;"", RawDataTable[[#This Row],[Account Name and Number]], "Empty Row")</f>
        <v>Empty Row</v>
      </c>
      <c r="E357" s="28" t="str">
        <f>IF(D357="Empty Row", "Empty Row",
   _xlfn.LET(
       _xlpm.lookupResult, _xlfn.XLOOKUP(D357, RawDataTable[Account Name and Number], RawDataTable[Investment Date], "MISSING VALUE"),
       IF(ISNUMBER(_xlpm.lookupResult), _xlpm.lookupResult, "INVALID VALUE")
   )
)</f>
        <v>Empty Row</v>
      </c>
      <c r="F357" s="29" t="str">
        <f>IF(D357="Empty Row", "Empty Row",
   _xlfn.LET(
       _xlpm.lookupResult, _xlfn.XLOOKUP(D357, RawDataTable[Account Name and Number], RawDataTable[Investment Amount], "MISSING VALUE"),
       IF(ISNUMBER(_xlpm.lookupResult), _xlpm.lookupResult, "INVALID VALUE")
   )
)</f>
        <v>Empty Row</v>
      </c>
      <c r="G357" s="28" t="str">
        <f t="shared" ca="1" si="5"/>
        <v>Empty Row</v>
      </c>
      <c r="H357" s="29" t="str">
        <f>IF(D357="Empty Row", "Empty Row",
   _xlfn.LET(
       _xlpm.lookupResult, _xlfn.XLOOKUP(D357, RawDataTable[Account Name and Number], RawDataTable[Valuation Amount], "MISSING VALUE"),
       IF(ISNUMBER(_xlpm.lookupResult), _xlpm.lookupResult, "INVALID VALUE")
   )
)</f>
        <v>Empty Row</v>
      </c>
      <c r="I357" s="2" t="str">
        <f>IF(D357="Empty Row", "Empty Row", IF(_xlfn.XLOOKUP(B357, MasterTable[IRA Custodian], MasterTable[Address], "")="", "NO STREET NAME FOUND", _xlfn.XLOOKUP(B357, MasterTable[IRA Custodian], MasterTable[Address], "")))</f>
        <v>Empty Row</v>
      </c>
      <c r="J357" s="2" t="str">
        <f>IF(D357="Empty Row", "Empty Row",
   IF(OR(
       _xlfn.XLOOKUP(B357, MasterTable[IRA Custodian], MasterTable[City], "")="",
       _xlfn.XLOOKUP(B357, MasterTable[IRA Custodian], MasterTable[State], "")="",
       _xlfn.XLOOKUP(B357, MasterTable[IRA Custodian], MasterTable[Zip], "")=""),
       "INCOMPLETE ADDRESS",
       _xlfn.CONCAT(
           _xlfn.XLOOKUP(B357, MasterTable[IRA Custodian], MasterTable[City], ""), ", ",
           _xlfn.XLOOKUP(B357, MasterTable[IRA Custodian], MasterTable[State], ""), " ",
           _xlfn.XLOOKUP(B357, MasterTable[IRA Custodian], MasterTable[Zip], "")
       )
   )
)</f>
        <v>Empty Row</v>
      </c>
    </row>
    <row r="358" spans="1:10" x14ac:dyDescent="0.25">
      <c r="A358" t="str">
        <f>IF(D358="Empty Row", "Empty Row",
   _xlfn.LET(
       _xlpm.lookupResult, _xlfn.XLOOKUP(D358, RawDataTable[Account Name and Number], RawDataTable[Entity], "RAW DATA MISSING"),
       IF(ISBLANK(_xlpm.lookupResult), "RAW DATA MISSING", _xlpm.lookupResult)
   )
)</f>
        <v>Empty Row</v>
      </c>
      <c r="B358" t="str">
        <f>IF(D358="Empty Row", "Empty Row",
   _xlfn.LET(
       _xlpm.rawDataLookup, _xlfn.XLOOKUP(D358,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58" s="56" t="str" cm="1">
        <f t="array" ref="C358">IF(D358="Empty Row", "Empty Row",
   IF(COUNTIF('Name Mapping'!H:AD, D358) &gt; 0,
      INDEX('Name Mapping'!F:F, MATCH(TRUE, MMULT(--('Name Mapping'!H:AD=D358), TRANSPOSE(COLUMN('Name Mapping'!H:AD)^0)) &gt; 0, 0)),
      "")
)</f>
        <v>Empty Row</v>
      </c>
      <c r="D358" t="str">
        <f>IF(RawDataTable[[#This Row],[Account Name and Number]]&lt;&gt;"", RawDataTable[[#This Row],[Account Name and Number]], "Empty Row")</f>
        <v>Empty Row</v>
      </c>
      <c r="E358" s="28" t="str">
        <f>IF(D358="Empty Row", "Empty Row",
   _xlfn.LET(
       _xlpm.lookupResult, _xlfn.XLOOKUP(D358, RawDataTable[Account Name and Number], RawDataTable[Investment Date], "MISSING VALUE"),
       IF(ISNUMBER(_xlpm.lookupResult), _xlpm.lookupResult, "INVALID VALUE")
   )
)</f>
        <v>Empty Row</v>
      </c>
      <c r="F358" s="29" t="str">
        <f>IF(D358="Empty Row", "Empty Row",
   _xlfn.LET(
       _xlpm.lookupResult, _xlfn.XLOOKUP(D358, RawDataTable[Account Name and Number], RawDataTable[Investment Amount], "MISSING VALUE"),
       IF(ISNUMBER(_xlpm.lookupResult), _xlpm.lookupResult, "INVALID VALUE")
   )
)</f>
        <v>Empty Row</v>
      </c>
      <c r="G358" s="28" t="str">
        <f t="shared" ca="1" si="5"/>
        <v>Empty Row</v>
      </c>
      <c r="H358" s="29" t="str">
        <f>IF(D358="Empty Row", "Empty Row",
   _xlfn.LET(
       _xlpm.lookupResult, _xlfn.XLOOKUP(D358, RawDataTable[Account Name and Number], RawDataTable[Valuation Amount], "MISSING VALUE"),
       IF(ISNUMBER(_xlpm.lookupResult), _xlpm.lookupResult, "INVALID VALUE")
   )
)</f>
        <v>Empty Row</v>
      </c>
      <c r="I358" s="2" t="str">
        <f>IF(D358="Empty Row", "Empty Row", IF(_xlfn.XLOOKUP(B358, MasterTable[IRA Custodian], MasterTable[Address], "")="", "NO STREET NAME FOUND", _xlfn.XLOOKUP(B358, MasterTable[IRA Custodian], MasterTable[Address], "")))</f>
        <v>Empty Row</v>
      </c>
      <c r="J358" s="2" t="str">
        <f>IF(D358="Empty Row", "Empty Row",
   IF(OR(
       _xlfn.XLOOKUP(B358, MasterTable[IRA Custodian], MasterTable[City], "")="",
       _xlfn.XLOOKUP(B358, MasterTable[IRA Custodian], MasterTable[State], "")="",
       _xlfn.XLOOKUP(B358, MasterTable[IRA Custodian], MasterTable[Zip], "")=""),
       "INCOMPLETE ADDRESS",
       _xlfn.CONCAT(
           _xlfn.XLOOKUP(B358, MasterTable[IRA Custodian], MasterTable[City], ""), ", ",
           _xlfn.XLOOKUP(B358, MasterTable[IRA Custodian], MasterTable[State], ""), " ",
           _xlfn.XLOOKUP(B358, MasterTable[IRA Custodian], MasterTable[Zip], "")
       )
   )
)</f>
        <v>Empty Row</v>
      </c>
    </row>
    <row r="359" spans="1:10" x14ac:dyDescent="0.25">
      <c r="A359" t="str">
        <f>IF(D359="Empty Row", "Empty Row",
   _xlfn.LET(
       _xlpm.lookupResult, _xlfn.XLOOKUP(D359, RawDataTable[Account Name and Number], RawDataTable[Entity], "RAW DATA MISSING"),
       IF(ISBLANK(_xlpm.lookupResult), "RAW DATA MISSING", _xlpm.lookupResult)
   )
)</f>
        <v>Empty Row</v>
      </c>
      <c r="B359" t="str">
        <f>IF(D359="Empty Row", "Empty Row",
   _xlfn.LET(
       _xlpm.rawDataLookup, _xlfn.XLOOKUP(D359,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59" s="56" t="str" cm="1">
        <f t="array" ref="C359">IF(D359="Empty Row", "Empty Row",
   IF(COUNTIF('Name Mapping'!H:AD, D359) &gt; 0,
      INDEX('Name Mapping'!F:F, MATCH(TRUE, MMULT(--('Name Mapping'!H:AD=D359), TRANSPOSE(COLUMN('Name Mapping'!H:AD)^0)) &gt; 0, 0)),
      "")
)</f>
        <v>Empty Row</v>
      </c>
      <c r="D359" t="str">
        <f>IF(RawDataTable[[#This Row],[Account Name and Number]]&lt;&gt;"", RawDataTable[[#This Row],[Account Name and Number]], "Empty Row")</f>
        <v>Empty Row</v>
      </c>
      <c r="E359" s="28" t="str">
        <f>IF(D359="Empty Row", "Empty Row",
   _xlfn.LET(
       _xlpm.lookupResult, _xlfn.XLOOKUP(D359, RawDataTable[Account Name and Number], RawDataTable[Investment Date], "MISSING VALUE"),
       IF(ISNUMBER(_xlpm.lookupResult), _xlpm.lookupResult, "INVALID VALUE")
   )
)</f>
        <v>Empty Row</v>
      </c>
      <c r="F359" s="29" t="str">
        <f>IF(D359="Empty Row", "Empty Row",
   _xlfn.LET(
       _xlpm.lookupResult, _xlfn.XLOOKUP(D359, RawDataTable[Account Name and Number], RawDataTable[Investment Amount], "MISSING VALUE"),
       IF(ISNUMBER(_xlpm.lookupResult), _xlpm.lookupResult, "INVALID VALUE")
   )
)</f>
        <v>Empty Row</v>
      </c>
      <c r="G359" s="28" t="str">
        <f t="shared" ca="1" si="5"/>
        <v>Empty Row</v>
      </c>
      <c r="H359" s="29" t="str">
        <f>IF(D359="Empty Row", "Empty Row",
   _xlfn.LET(
       _xlpm.lookupResult, _xlfn.XLOOKUP(D359, RawDataTable[Account Name and Number], RawDataTable[Valuation Amount], "MISSING VALUE"),
       IF(ISNUMBER(_xlpm.lookupResult), _xlpm.lookupResult, "INVALID VALUE")
   )
)</f>
        <v>Empty Row</v>
      </c>
      <c r="I359" s="2" t="str">
        <f>IF(D359="Empty Row", "Empty Row", IF(_xlfn.XLOOKUP(B359, MasterTable[IRA Custodian], MasterTable[Address], "")="", "NO STREET NAME FOUND", _xlfn.XLOOKUP(B359, MasterTable[IRA Custodian], MasterTable[Address], "")))</f>
        <v>Empty Row</v>
      </c>
      <c r="J359" s="2" t="str">
        <f>IF(D359="Empty Row", "Empty Row",
   IF(OR(
       _xlfn.XLOOKUP(B359, MasterTable[IRA Custodian], MasterTable[City], "")="",
       _xlfn.XLOOKUP(B359, MasterTable[IRA Custodian], MasterTable[State], "")="",
       _xlfn.XLOOKUP(B359, MasterTable[IRA Custodian], MasterTable[Zip], "")=""),
       "INCOMPLETE ADDRESS",
       _xlfn.CONCAT(
           _xlfn.XLOOKUP(B359, MasterTable[IRA Custodian], MasterTable[City], ""), ", ",
           _xlfn.XLOOKUP(B359, MasterTable[IRA Custodian], MasterTable[State], ""), " ",
           _xlfn.XLOOKUP(B359, MasterTable[IRA Custodian], MasterTable[Zip], "")
       )
   )
)</f>
        <v>Empty Row</v>
      </c>
    </row>
    <row r="360" spans="1:10" x14ac:dyDescent="0.25">
      <c r="A360" t="str">
        <f>IF(D360="Empty Row", "Empty Row",
   _xlfn.LET(
       _xlpm.lookupResult, _xlfn.XLOOKUP(D360, RawDataTable[Account Name and Number], RawDataTable[Entity], "RAW DATA MISSING"),
       IF(ISBLANK(_xlpm.lookupResult), "RAW DATA MISSING", _xlpm.lookupResult)
   )
)</f>
        <v>Empty Row</v>
      </c>
      <c r="B360" t="str">
        <f>IF(D360="Empty Row", "Empty Row",
   _xlfn.LET(
       _xlpm.rawDataLookup, _xlfn.XLOOKUP(D360,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60" s="56" t="str" cm="1">
        <f t="array" ref="C360">IF(D360="Empty Row", "Empty Row",
   IF(COUNTIF('Name Mapping'!H:AD, D360) &gt; 0,
      INDEX('Name Mapping'!F:F, MATCH(TRUE, MMULT(--('Name Mapping'!H:AD=D360), TRANSPOSE(COLUMN('Name Mapping'!H:AD)^0)) &gt; 0, 0)),
      "")
)</f>
        <v>Empty Row</v>
      </c>
      <c r="D360" t="str">
        <f>IF(RawDataTable[[#This Row],[Account Name and Number]]&lt;&gt;"", RawDataTable[[#This Row],[Account Name and Number]], "Empty Row")</f>
        <v>Empty Row</v>
      </c>
      <c r="E360" s="28" t="str">
        <f>IF(D360="Empty Row", "Empty Row",
   _xlfn.LET(
       _xlpm.lookupResult, _xlfn.XLOOKUP(D360, RawDataTable[Account Name and Number], RawDataTable[Investment Date], "MISSING VALUE"),
       IF(ISNUMBER(_xlpm.lookupResult), _xlpm.lookupResult, "INVALID VALUE")
   )
)</f>
        <v>Empty Row</v>
      </c>
      <c r="F360" s="29" t="str">
        <f>IF(D360="Empty Row", "Empty Row",
   _xlfn.LET(
       _xlpm.lookupResult, _xlfn.XLOOKUP(D360, RawDataTable[Account Name and Number], RawDataTable[Investment Amount], "MISSING VALUE"),
       IF(ISNUMBER(_xlpm.lookupResult), _xlpm.lookupResult, "INVALID VALUE")
   )
)</f>
        <v>Empty Row</v>
      </c>
      <c r="G360" s="28" t="str">
        <f t="shared" ca="1" si="5"/>
        <v>Empty Row</v>
      </c>
      <c r="H360" s="29" t="str">
        <f>IF(D360="Empty Row", "Empty Row",
   _xlfn.LET(
       _xlpm.lookupResult, _xlfn.XLOOKUP(D360, RawDataTable[Account Name and Number], RawDataTable[Valuation Amount], "MISSING VALUE"),
       IF(ISNUMBER(_xlpm.lookupResult), _xlpm.lookupResult, "INVALID VALUE")
   )
)</f>
        <v>Empty Row</v>
      </c>
      <c r="I360" s="2" t="str">
        <f>IF(D360="Empty Row", "Empty Row", IF(_xlfn.XLOOKUP(B360, MasterTable[IRA Custodian], MasterTable[Address], "")="", "NO STREET NAME FOUND", _xlfn.XLOOKUP(B360, MasterTable[IRA Custodian], MasterTable[Address], "")))</f>
        <v>Empty Row</v>
      </c>
      <c r="J360" s="2" t="str">
        <f>IF(D360="Empty Row", "Empty Row",
   IF(OR(
       _xlfn.XLOOKUP(B360, MasterTable[IRA Custodian], MasterTable[City], "")="",
       _xlfn.XLOOKUP(B360, MasterTable[IRA Custodian], MasterTable[State], "")="",
       _xlfn.XLOOKUP(B360, MasterTable[IRA Custodian], MasterTable[Zip], "")=""),
       "INCOMPLETE ADDRESS",
       _xlfn.CONCAT(
           _xlfn.XLOOKUP(B360, MasterTable[IRA Custodian], MasterTable[City], ""), ", ",
           _xlfn.XLOOKUP(B360, MasterTable[IRA Custodian], MasterTable[State], ""), " ",
           _xlfn.XLOOKUP(B360, MasterTable[IRA Custodian], MasterTable[Zip], "")
       )
   )
)</f>
        <v>Empty Row</v>
      </c>
    </row>
    <row r="361" spans="1:10" x14ac:dyDescent="0.25">
      <c r="A361" t="str">
        <f>IF(D361="Empty Row", "Empty Row",
   _xlfn.LET(
       _xlpm.lookupResult, _xlfn.XLOOKUP(D361, RawDataTable[Account Name and Number], RawDataTable[Entity], "RAW DATA MISSING"),
       IF(ISBLANK(_xlpm.lookupResult), "RAW DATA MISSING", _xlpm.lookupResult)
   )
)</f>
        <v>Empty Row</v>
      </c>
      <c r="B361" t="str">
        <f>IF(D361="Empty Row", "Empty Row",
   _xlfn.LET(
       _xlpm.rawDataLookup, _xlfn.XLOOKUP(D361,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61" s="56" t="str" cm="1">
        <f t="array" ref="C361">IF(D361="Empty Row", "Empty Row",
   IF(COUNTIF('Name Mapping'!H:AD, D361) &gt; 0,
      INDEX('Name Mapping'!F:F, MATCH(TRUE, MMULT(--('Name Mapping'!H:AD=D361), TRANSPOSE(COLUMN('Name Mapping'!H:AD)^0)) &gt; 0, 0)),
      "")
)</f>
        <v>Empty Row</v>
      </c>
      <c r="D361" t="str">
        <f>IF(RawDataTable[[#This Row],[Account Name and Number]]&lt;&gt;"", RawDataTable[[#This Row],[Account Name and Number]], "Empty Row")</f>
        <v>Empty Row</v>
      </c>
      <c r="E361" s="28" t="str">
        <f>IF(D361="Empty Row", "Empty Row",
   _xlfn.LET(
       _xlpm.lookupResult, _xlfn.XLOOKUP(D361, RawDataTable[Account Name and Number], RawDataTable[Investment Date], "MISSING VALUE"),
       IF(ISNUMBER(_xlpm.lookupResult), _xlpm.lookupResult, "INVALID VALUE")
   )
)</f>
        <v>Empty Row</v>
      </c>
      <c r="F361" s="29" t="str">
        <f>IF(D361="Empty Row", "Empty Row",
   _xlfn.LET(
       _xlpm.lookupResult, _xlfn.XLOOKUP(D361, RawDataTable[Account Name and Number], RawDataTable[Investment Amount], "MISSING VALUE"),
       IF(ISNUMBER(_xlpm.lookupResult), _xlpm.lookupResult, "INVALID VALUE")
   )
)</f>
        <v>Empty Row</v>
      </c>
      <c r="G361" s="28" t="str">
        <f t="shared" ca="1" si="5"/>
        <v>Empty Row</v>
      </c>
      <c r="H361" s="29" t="str">
        <f>IF(D361="Empty Row", "Empty Row",
   _xlfn.LET(
       _xlpm.lookupResult, _xlfn.XLOOKUP(D361, RawDataTable[Account Name and Number], RawDataTable[Valuation Amount], "MISSING VALUE"),
       IF(ISNUMBER(_xlpm.lookupResult), _xlpm.lookupResult, "INVALID VALUE")
   )
)</f>
        <v>Empty Row</v>
      </c>
      <c r="I361" s="2" t="str">
        <f>IF(D361="Empty Row", "Empty Row", IF(_xlfn.XLOOKUP(B361, MasterTable[IRA Custodian], MasterTable[Address], "")="", "NO STREET NAME FOUND", _xlfn.XLOOKUP(B361, MasterTable[IRA Custodian], MasterTable[Address], "")))</f>
        <v>Empty Row</v>
      </c>
      <c r="J361" s="2" t="str">
        <f>IF(D361="Empty Row", "Empty Row",
   IF(OR(
       _xlfn.XLOOKUP(B361, MasterTable[IRA Custodian], MasterTable[City], "")="",
       _xlfn.XLOOKUP(B361, MasterTable[IRA Custodian], MasterTable[State], "")="",
       _xlfn.XLOOKUP(B361, MasterTable[IRA Custodian], MasterTable[Zip], "")=""),
       "INCOMPLETE ADDRESS",
       _xlfn.CONCAT(
           _xlfn.XLOOKUP(B361, MasterTable[IRA Custodian], MasterTable[City], ""), ", ",
           _xlfn.XLOOKUP(B361, MasterTable[IRA Custodian], MasterTable[State], ""), " ",
           _xlfn.XLOOKUP(B361, MasterTable[IRA Custodian], MasterTable[Zip], "")
       )
   )
)</f>
        <v>Empty Row</v>
      </c>
    </row>
    <row r="362" spans="1:10" x14ac:dyDescent="0.25">
      <c r="A362" t="str">
        <f>IF(D362="Empty Row", "Empty Row",
   _xlfn.LET(
       _xlpm.lookupResult, _xlfn.XLOOKUP(D362, RawDataTable[Account Name and Number], RawDataTable[Entity], "RAW DATA MISSING"),
       IF(ISBLANK(_xlpm.lookupResult), "RAW DATA MISSING", _xlpm.lookupResult)
   )
)</f>
        <v>Empty Row</v>
      </c>
      <c r="B362" t="str">
        <f>IF(D362="Empty Row", "Empty Row",
   _xlfn.LET(
       _xlpm.rawDataLookup, _xlfn.XLOOKUP(D362,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62" s="56" t="str" cm="1">
        <f t="array" ref="C362">IF(D362="Empty Row", "Empty Row",
   IF(COUNTIF('Name Mapping'!H:AD, D362) &gt; 0,
      INDEX('Name Mapping'!F:F, MATCH(TRUE, MMULT(--('Name Mapping'!H:AD=D362), TRANSPOSE(COLUMN('Name Mapping'!H:AD)^0)) &gt; 0, 0)),
      "")
)</f>
        <v>Empty Row</v>
      </c>
      <c r="D362" t="str">
        <f>IF(RawDataTable[[#This Row],[Account Name and Number]]&lt;&gt;"", RawDataTable[[#This Row],[Account Name and Number]], "Empty Row")</f>
        <v>Empty Row</v>
      </c>
      <c r="E362" s="28" t="str">
        <f>IF(D362="Empty Row", "Empty Row",
   _xlfn.LET(
       _xlpm.lookupResult, _xlfn.XLOOKUP(D362, RawDataTable[Account Name and Number], RawDataTable[Investment Date], "MISSING VALUE"),
       IF(ISNUMBER(_xlpm.lookupResult), _xlpm.lookupResult, "INVALID VALUE")
   )
)</f>
        <v>Empty Row</v>
      </c>
      <c r="F362" s="29" t="str">
        <f>IF(D362="Empty Row", "Empty Row",
   _xlfn.LET(
       _xlpm.lookupResult, _xlfn.XLOOKUP(D362, RawDataTable[Account Name and Number], RawDataTable[Investment Amount], "MISSING VALUE"),
       IF(ISNUMBER(_xlpm.lookupResult), _xlpm.lookupResult, "INVALID VALUE")
   )
)</f>
        <v>Empty Row</v>
      </c>
      <c r="G362" s="28" t="str">
        <f t="shared" ca="1" si="5"/>
        <v>Empty Row</v>
      </c>
      <c r="H362" s="29" t="str">
        <f>IF(D362="Empty Row", "Empty Row",
   _xlfn.LET(
       _xlpm.lookupResult, _xlfn.XLOOKUP(D362, RawDataTable[Account Name and Number], RawDataTable[Valuation Amount], "MISSING VALUE"),
       IF(ISNUMBER(_xlpm.lookupResult), _xlpm.lookupResult, "INVALID VALUE")
   )
)</f>
        <v>Empty Row</v>
      </c>
      <c r="I362" s="2" t="str">
        <f>IF(D362="Empty Row", "Empty Row", IF(_xlfn.XLOOKUP(B362, MasterTable[IRA Custodian], MasterTable[Address], "")="", "NO STREET NAME FOUND", _xlfn.XLOOKUP(B362, MasterTable[IRA Custodian], MasterTable[Address], "")))</f>
        <v>Empty Row</v>
      </c>
      <c r="J362" s="2" t="str">
        <f>IF(D362="Empty Row", "Empty Row",
   IF(OR(
       _xlfn.XLOOKUP(B362, MasterTable[IRA Custodian], MasterTable[City], "")="",
       _xlfn.XLOOKUP(B362, MasterTable[IRA Custodian], MasterTable[State], "")="",
       _xlfn.XLOOKUP(B362, MasterTable[IRA Custodian], MasterTable[Zip], "")=""),
       "INCOMPLETE ADDRESS",
       _xlfn.CONCAT(
           _xlfn.XLOOKUP(B362, MasterTable[IRA Custodian], MasterTable[City], ""), ", ",
           _xlfn.XLOOKUP(B362, MasterTable[IRA Custodian], MasterTable[State], ""), " ",
           _xlfn.XLOOKUP(B362, MasterTable[IRA Custodian], MasterTable[Zip], "")
       )
   )
)</f>
        <v>Empty Row</v>
      </c>
    </row>
    <row r="363" spans="1:10" x14ac:dyDescent="0.25">
      <c r="A363" t="str">
        <f>IF(D363="Empty Row", "Empty Row",
   _xlfn.LET(
       _xlpm.lookupResult, _xlfn.XLOOKUP(D363, RawDataTable[Account Name and Number], RawDataTable[Entity], "RAW DATA MISSING"),
       IF(ISBLANK(_xlpm.lookupResult), "RAW DATA MISSING", _xlpm.lookupResult)
   )
)</f>
        <v>Empty Row</v>
      </c>
      <c r="B363" t="str">
        <f>IF(D363="Empty Row", "Empty Row",
   _xlfn.LET(
       _xlpm.rawDataLookup, _xlfn.XLOOKUP(D363,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63" s="56" t="str" cm="1">
        <f t="array" ref="C363">IF(D363="Empty Row", "Empty Row",
   IF(COUNTIF('Name Mapping'!H:AD, D363) &gt; 0,
      INDEX('Name Mapping'!F:F, MATCH(TRUE, MMULT(--('Name Mapping'!H:AD=D363), TRANSPOSE(COLUMN('Name Mapping'!H:AD)^0)) &gt; 0, 0)),
      "")
)</f>
        <v>Empty Row</v>
      </c>
      <c r="D363" t="str">
        <f>IF(RawDataTable[[#This Row],[Account Name and Number]]&lt;&gt;"", RawDataTable[[#This Row],[Account Name and Number]], "Empty Row")</f>
        <v>Empty Row</v>
      </c>
      <c r="E363" s="28" t="str">
        <f>IF(D363="Empty Row", "Empty Row",
   _xlfn.LET(
       _xlpm.lookupResult, _xlfn.XLOOKUP(D363, RawDataTable[Account Name and Number], RawDataTable[Investment Date], "MISSING VALUE"),
       IF(ISNUMBER(_xlpm.lookupResult), _xlpm.lookupResult, "INVALID VALUE")
   )
)</f>
        <v>Empty Row</v>
      </c>
      <c r="F363" s="29" t="str">
        <f>IF(D363="Empty Row", "Empty Row",
   _xlfn.LET(
       _xlpm.lookupResult, _xlfn.XLOOKUP(D363, RawDataTable[Account Name and Number], RawDataTable[Investment Amount], "MISSING VALUE"),
       IF(ISNUMBER(_xlpm.lookupResult), _xlpm.lookupResult, "INVALID VALUE")
   )
)</f>
        <v>Empty Row</v>
      </c>
      <c r="G363" s="28" t="str">
        <f t="shared" ca="1" si="5"/>
        <v>Empty Row</v>
      </c>
      <c r="H363" s="29" t="str">
        <f>IF(D363="Empty Row", "Empty Row",
   _xlfn.LET(
       _xlpm.lookupResult, _xlfn.XLOOKUP(D363, RawDataTable[Account Name and Number], RawDataTable[Valuation Amount], "MISSING VALUE"),
       IF(ISNUMBER(_xlpm.lookupResult), _xlpm.lookupResult, "INVALID VALUE")
   )
)</f>
        <v>Empty Row</v>
      </c>
      <c r="I363" s="2" t="str">
        <f>IF(D363="Empty Row", "Empty Row", IF(_xlfn.XLOOKUP(B363, MasterTable[IRA Custodian], MasterTable[Address], "")="", "NO STREET NAME FOUND", _xlfn.XLOOKUP(B363, MasterTable[IRA Custodian], MasterTable[Address], "")))</f>
        <v>Empty Row</v>
      </c>
      <c r="J363" s="2" t="str">
        <f>IF(D363="Empty Row", "Empty Row",
   IF(OR(
       _xlfn.XLOOKUP(B363, MasterTable[IRA Custodian], MasterTable[City], "")="",
       _xlfn.XLOOKUP(B363, MasterTable[IRA Custodian], MasterTable[State], "")="",
       _xlfn.XLOOKUP(B363, MasterTable[IRA Custodian], MasterTable[Zip], "")=""),
       "INCOMPLETE ADDRESS",
       _xlfn.CONCAT(
           _xlfn.XLOOKUP(B363, MasterTable[IRA Custodian], MasterTable[City], ""), ", ",
           _xlfn.XLOOKUP(B363, MasterTable[IRA Custodian], MasterTable[State], ""), " ",
           _xlfn.XLOOKUP(B363, MasterTable[IRA Custodian], MasterTable[Zip], "")
       )
   )
)</f>
        <v>Empty Row</v>
      </c>
    </row>
    <row r="364" spans="1:10" x14ac:dyDescent="0.25">
      <c r="A364" t="str">
        <f>IF(D364="Empty Row", "Empty Row",
   _xlfn.LET(
       _xlpm.lookupResult, _xlfn.XLOOKUP(D364, RawDataTable[Account Name and Number], RawDataTable[Entity], "RAW DATA MISSING"),
       IF(ISBLANK(_xlpm.lookupResult), "RAW DATA MISSING", _xlpm.lookupResult)
   )
)</f>
        <v>Empty Row</v>
      </c>
      <c r="B364" t="str">
        <f>IF(D364="Empty Row", "Empty Row",
   _xlfn.LET(
       _xlpm.rawDataLookup, _xlfn.XLOOKUP(D364,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64" s="56" t="str" cm="1">
        <f t="array" ref="C364">IF(D364="Empty Row", "Empty Row",
   IF(COUNTIF('Name Mapping'!H:AD, D364) &gt; 0,
      INDEX('Name Mapping'!F:F, MATCH(TRUE, MMULT(--('Name Mapping'!H:AD=D364), TRANSPOSE(COLUMN('Name Mapping'!H:AD)^0)) &gt; 0, 0)),
      "")
)</f>
        <v>Empty Row</v>
      </c>
      <c r="D364" t="str">
        <f>IF(RawDataTable[[#This Row],[Account Name and Number]]&lt;&gt;"", RawDataTable[[#This Row],[Account Name and Number]], "Empty Row")</f>
        <v>Empty Row</v>
      </c>
      <c r="E364" s="28" t="str">
        <f>IF(D364="Empty Row", "Empty Row",
   _xlfn.LET(
       _xlpm.lookupResult, _xlfn.XLOOKUP(D364, RawDataTable[Account Name and Number], RawDataTable[Investment Date], "MISSING VALUE"),
       IF(ISNUMBER(_xlpm.lookupResult), _xlpm.lookupResult, "INVALID VALUE")
   )
)</f>
        <v>Empty Row</v>
      </c>
      <c r="F364" s="29" t="str">
        <f>IF(D364="Empty Row", "Empty Row",
   _xlfn.LET(
       _xlpm.lookupResult, _xlfn.XLOOKUP(D364, RawDataTable[Account Name and Number], RawDataTable[Investment Amount], "MISSING VALUE"),
       IF(ISNUMBER(_xlpm.lookupResult), _xlpm.lookupResult, "INVALID VALUE")
   )
)</f>
        <v>Empty Row</v>
      </c>
      <c r="G364" s="28" t="str">
        <f t="shared" ca="1" si="5"/>
        <v>Empty Row</v>
      </c>
      <c r="H364" s="29" t="str">
        <f>IF(D364="Empty Row", "Empty Row",
   _xlfn.LET(
       _xlpm.lookupResult, _xlfn.XLOOKUP(D364, RawDataTable[Account Name and Number], RawDataTable[Valuation Amount], "MISSING VALUE"),
       IF(ISNUMBER(_xlpm.lookupResult), _xlpm.lookupResult, "INVALID VALUE")
   )
)</f>
        <v>Empty Row</v>
      </c>
      <c r="I364" s="2" t="str">
        <f>IF(D364="Empty Row", "Empty Row", IF(_xlfn.XLOOKUP(B364, MasterTable[IRA Custodian], MasterTable[Address], "")="", "NO STREET NAME FOUND", _xlfn.XLOOKUP(B364, MasterTable[IRA Custodian], MasterTable[Address], "")))</f>
        <v>Empty Row</v>
      </c>
      <c r="J364" s="2" t="str">
        <f>IF(D364="Empty Row", "Empty Row",
   IF(OR(
       _xlfn.XLOOKUP(B364, MasterTable[IRA Custodian], MasterTable[City], "")="",
       _xlfn.XLOOKUP(B364, MasterTable[IRA Custodian], MasterTable[State], "")="",
       _xlfn.XLOOKUP(B364, MasterTable[IRA Custodian], MasterTable[Zip], "")=""),
       "INCOMPLETE ADDRESS",
       _xlfn.CONCAT(
           _xlfn.XLOOKUP(B364, MasterTable[IRA Custodian], MasterTable[City], ""), ", ",
           _xlfn.XLOOKUP(B364, MasterTable[IRA Custodian], MasterTable[State], ""), " ",
           _xlfn.XLOOKUP(B364, MasterTable[IRA Custodian], MasterTable[Zip], "")
       )
   )
)</f>
        <v>Empty Row</v>
      </c>
    </row>
    <row r="365" spans="1:10" x14ac:dyDescent="0.25">
      <c r="A365" t="str">
        <f>IF(D365="Empty Row", "Empty Row",
   _xlfn.LET(
       _xlpm.lookupResult, _xlfn.XLOOKUP(D365, RawDataTable[Account Name and Number], RawDataTable[Entity], "RAW DATA MISSING"),
       IF(ISBLANK(_xlpm.lookupResult), "RAW DATA MISSING", _xlpm.lookupResult)
   )
)</f>
        <v>Empty Row</v>
      </c>
      <c r="B365" t="str">
        <f>IF(D365="Empty Row", "Empty Row",
   _xlfn.LET(
       _xlpm.rawDataLookup, _xlfn.XLOOKUP(D365,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65" s="56" t="str" cm="1">
        <f t="array" ref="C365">IF(D365="Empty Row", "Empty Row",
   IF(COUNTIF('Name Mapping'!H:AD, D365) &gt; 0,
      INDEX('Name Mapping'!F:F, MATCH(TRUE, MMULT(--('Name Mapping'!H:AD=D365), TRANSPOSE(COLUMN('Name Mapping'!H:AD)^0)) &gt; 0, 0)),
      "")
)</f>
        <v>Empty Row</v>
      </c>
      <c r="D365" t="str">
        <f>IF(RawDataTable[[#This Row],[Account Name and Number]]&lt;&gt;"", RawDataTable[[#This Row],[Account Name and Number]], "Empty Row")</f>
        <v>Empty Row</v>
      </c>
      <c r="E365" s="28" t="str">
        <f>IF(D365="Empty Row", "Empty Row",
   _xlfn.LET(
       _xlpm.lookupResult, _xlfn.XLOOKUP(D365, RawDataTable[Account Name and Number], RawDataTable[Investment Date], "MISSING VALUE"),
       IF(ISNUMBER(_xlpm.lookupResult), _xlpm.lookupResult, "INVALID VALUE")
   )
)</f>
        <v>Empty Row</v>
      </c>
      <c r="F365" s="29" t="str">
        <f>IF(D365="Empty Row", "Empty Row",
   _xlfn.LET(
       _xlpm.lookupResult, _xlfn.XLOOKUP(D365, RawDataTable[Account Name and Number], RawDataTable[Investment Amount], "MISSING VALUE"),
       IF(ISNUMBER(_xlpm.lookupResult), _xlpm.lookupResult, "INVALID VALUE")
   )
)</f>
        <v>Empty Row</v>
      </c>
      <c r="G365" s="28" t="str">
        <f t="shared" ca="1" si="5"/>
        <v>Empty Row</v>
      </c>
      <c r="H365" s="29" t="str">
        <f>IF(D365="Empty Row", "Empty Row",
   _xlfn.LET(
       _xlpm.lookupResult, _xlfn.XLOOKUP(D365, RawDataTable[Account Name and Number], RawDataTable[Valuation Amount], "MISSING VALUE"),
       IF(ISNUMBER(_xlpm.lookupResult), _xlpm.lookupResult, "INVALID VALUE")
   )
)</f>
        <v>Empty Row</v>
      </c>
      <c r="I365" s="2" t="str">
        <f>IF(D365="Empty Row", "Empty Row", IF(_xlfn.XLOOKUP(B365, MasterTable[IRA Custodian], MasterTable[Address], "")="", "NO STREET NAME FOUND", _xlfn.XLOOKUP(B365, MasterTable[IRA Custodian], MasterTable[Address], "")))</f>
        <v>Empty Row</v>
      </c>
      <c r="J365" s="2" t="str">
        <f>IF(D365="Empty Row", "Empty Row",
   IF(OR(
       _xlfn.XLOOKUP(B365, MasterTable[IRA Custodian], MasterTable[City], "")="",
       _xlfn.XLOOKUP(B365, MasterTable[IRA Custodian], MasterTable[State], "")="",
       _xlfn.XLOOKUP(B365, MasterTable[IRA Custodian], MasterTable[Zip], "")=""),
       "INCOMPLETE ADDRESS",
       _xlfn.CONCAT(
           _xlfn.XLOOKUP(B365, MasterTable[IRA Custodian], MasterTable[City], ""), ", ",
           _xlfn.XLOOKUP(B365, MasterTable[IRA Custodian], MasterTable[State], ""), " ",
           _xlfn.XLOOKUP(B365, MasterTable[IRA Custodian], MasterTable[Zip], "")
       )
   )
)</f>
        <v>Empty Row</v>
      </c>
    </row>
    <row r="366" spans="1:10" x14ac:dyDescent="0.25">
      <c r="A366" t="str">
        <f>IF(D366="Empty Row", "Empty Row",
   _xlfn.LET(
       _xlpm.lookupResult, _xlfn.XLOOKUP(D366, RawDataTable[Account Name and Number], RawDataTable[Entity], "RAW DATA MISSING"),
       IF(ISBLANK(_xlpm.lookupResult), "RAW DATA MISSING", _xlpm.lookupResult)
   )
)</f>
        <v>Empty Row</v>
      </c>
      <c r="B366" t="str">
        <f>IF(D366="Empty Row", "Empty Row",
   _xlfn.LET(
       _xlpm.rawDataLookup, _xlfn.XLOOKUP(D366,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66" s="56" t="str" cm="1">
        <f t="array" ref="C366">IF(D366="Empty Row", "Empty Row",
   IF(COUNTIF('Name Mapping'!H:AD, D366) &gt; 0,
      INDEX('Name Mapping'!F:F, MATCH(TRUE, MMULT(--('Name Mapping'!H:AD=D366), TRANSPOSE(COLUMN('Name Mapping'!H:AD)^0)) &gt; 0, 0)),
      "")
)</f>
        <v>Empty Row</v>
      </c>
      <c r="D366" t="str">
        <f>IF(RawDataTable[[#This Row],[Account Name and Number]]&lt;&gt;"", RawDataTable[[#This Row],[Account Name and Number]], "Empty Row")</f>
        <v>Empty Row</v>
      </c>
      <c r="E366" s="28" t="str">
        <f>IF(D366="Empty Row", "Empty Row",
   _xlfn.LET(
       _xlpm.lookupResult, _xlfn.XLOOKUP(D366, RawDataTable[Account Name and Number], RawDataTable[Investment Date], "MISSING VALUE"),
       IF(ISNUMBER(_xlpm.lookupResult), _xlpm.lookupResult, "INVALID VALUE")
   )
)</f>
        <v>Empty Row</v>
      </c>
      <c r="F366" s="29" t="str">
        <f>IF(D366="Empty Row", "Empty Row",
   _xlfn.LET(
       _xlpm.lookupResult, _xlfn.XLOOKUP(D366, RawDataTable[Account Name and Number], RawDataTable[Investment Amount], "MISSING VALUE"),
       IF(ISNUMBER(_xlpm.lookupResult), _xlpm.lookupResult, "INVALID VALUE")
   )
)</f>
        <v>Empty Row</v>
      </c>
      <c r="G366" s="28" t="str">
        <f t="shared" ca="1" si="5"/>
        <v>Empty Row</v>
      </c>
      <c r="H366" s="29" t="str">
        <f>IF(D366="Empty Row", "Empty Row",
   _xlfn.LET(
       _xlpm.lookupResult, _xlfn.XLOOKUP(D366, RawDataTable[Account Name and Number], RawDataTable[Valuation Amount], "MISSING VALUE"),
       IF(ISNUMBER(_xlpm.lookupResult), _xlpm.lookupResult, "INVALID VALUE")
   )
)</f>
        <v>Empty Row</v>
      </c>
      <c r="I366" s="2" t="str">
        <f>IF(D366="Empty Row", "Empty Row", IF(_xlfn.XLOOKUP(B366, MasterTable[IRA Custodian], MasterTable[Address], "")="", "NO STREET NAME FOUND", _xlfn.XLOOKUP(B366, MasterTable[IRA Custodian], MasterTable[Address], "")))</f>
        <v>Empty Row</v>
      </c>
      <c r="J366" s="2" t="str">
        <f>IF(D366="Empty Row", "Empty Row",
   IF(OR(
       _xlfn.XLOOKUP(B366, MasterTable[IRA Custodian], MasterTable[City], "")="",
       _xlfn.XLOOKUP(B366, MasterTable[IRA Custodian], MasterTable[State], "")="",
       _xlfn.XLOOKUP(B366, MasterTable[IRA Custodian], MasterTable[Zip], "")=""),
       "INCOMPLETE ADDRESS",
       _xlfn.CONCAT(
           _xlfn.XLOOKUP(B366, MasterTable[IRA Custodian], MasterTable[City], ""), ", ",
           _xlfn.XLOOKUP(B366, MasterTable[IRA Custodian], MasterTable[State], ""), " ",
           _xlfn.XLOOKUP(B366, MasterTable[IRA Custodian], MasterTable[Zip], "")
       )
   )
)</f>
        <v>Empty Row</v>
      </c>
    </row>
    <row r="367" spans="1:10" x14ac:dyDescent="0.25">
      <c r="A367" t="str">
        <f>IF(D367="Empty Row", "Empty Row",
   _xlfn.LET(
       _xlpm.lookupResult, _xlfn.XLOOKUP(D367, RawDataTable[Account Name and Number], RawDataTable[Entity], "RAW DATA MISSING"),
       IF(ISBLANK(_xlpm.lookupResult), "RAW DATA MISSING", _xlpm.lookupResult)
   )
)</f>
        <v>Empty Row</v>
      </c>
      <c r="B367" t="str">
        <f>IF(D367="Empty Row", "Empty Row",
   _xlfn.LET(
       _xlpm.rawDataLookup, _xlfn.XLOOKUP(D367,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67" s="56" t="str" cm="1">
        <f t="array" ref="C367">IF(D367="Empty Row", "Empty Row",
   IF(COUNTIF('Name Mapping'!H:AD, D367) &gt; 0,
      INDEX('Name Mapping'!F:F, MATCH(TRUE, MMULT(--('Name Mapping'!H:AD=D367), TRANSPOSE(COLUMN('Name Mapping'!H:AD)^0)) &gt; 0, 0)),
      "")
)</f>
        <v>Empty Row</v>
      </c>
      <c r="D367" t="str">
        <f>IF(RawDataTable[[#This Row],[Account Name and Number]]&lt;&gt;"", RawDataTable[[#This Row],[Account Name and Number]], "Empty Row")</f>
        <v>Empty Row</v>
      </c>
      <c r="E367" s="28" t="str">
        <f>IF(D367="Empty Row", "Empty Row",
   _xlfn.LET(
       _xlpm.lookupResult, _xlfn.XLOOKUP(D367, RawDataTable[Account Name and Number], RawDataTable[Investment Date], "MISSING VALUE"),
       IF(ISNUMBER(_xlpm.lookupResult), _xlpm.lookupResult, "INVALID VALUE")
   )
)</f>
        <v>Empty Row</v>
      </c>
      <c r="F367" s="29" t="str">
        <f>IF(D367="Empty Row", "Empty Row",
   _xlfn.LET(
       _xlpm.lookupResult, _xlfn.XLOOKUP(D367, RawDataTable[Account Name and Number], RawDataTable[Investment Amount], "MISSING VALUE"),
       IF(ISNUMBER(_xlpm.lookupResult), _xlpm.lookupResult, "INVALID VALUE")
   )
)</f>
        <v>Empty Row</v>
      </c>
      <c r="G367" s="28" t="str">
        <f t="shared" ca="1" si="5"/>
        <v>Empty Row</v>
      </c>
      <c r="H367" s="29" t="str">
        <f>IF(D367="Empty Row", "Empty Row",
   _xlfn.LET(
       _xlpm.lookupResult, _xlfn.XLOOKUP(D367, RawDataTable[Account Name and Number], RawDataTable[Valuation Amount], "MISSING VALUE"),
       IF(ISNUMBER(_xlpm.lookupResult), _xlpm.lookupResult, "INVALID VALUE")
   )
)</f>
        <v>Empty Row</v>
      </c>
      <c r="I367" s="2" t="str">
        <f>IF(D367="Empty Row", "Empty Row", IF(_xlfn.XLOOKUP(B367, MasterTable[IRA Custodian], MasterTable[Address], "")="", "NO STREET NAME FOUND", _xlfn.XLOOKUP(B367, MasterTable[IRA Custodian], MasterTable[Address], "")))</f>
        <v>Empty Row</v>
      </c>
      <c r="J367" s="2" t="str">
        <f>IF(D367="Empty Row", "Empty Row",
   IF(OR(
       _xlfn.XLOOKUP(B367, MasterTable[IRA Custodian], MasterTable[City], "")="",
       _xlfn.XLOOKUP(B367, MasterTable[IRA Custodian], MasterTable[State], "")="",
       _xlfn.XLOOKUP(B367, MasterTable[IRA Custodian], MasterTable[Zip], "")=""),
       "INCOMPLETE ADDRESS",
       _xlfn.CONCAT(
           _xlfn.XLOOKUP(B367, MasterTable[IRA Custodian], MasterTable[City], ""), ", ",
           _xlfn.XLOOKUP(B367, MasterTable[IRA Custodian], MasterTable[State], ""), " ",
           _xlfn.XLOOKUP(B367, MasterTable[IRA Custodian], MasterTable[Zip], "")
       )
   )
)</f>
        <v>Empty Row</v>
      </c>
    </row>
    <row r="368" spans="1:10" x14ac:dyDescent="0.25">
      <c r="A368" t="str">
        <f>IF(D368="Empty Row", "Empty Row",
   _xlfn.LET(
       _xlpm.lookupResult, _xlfn.XLOOKUP(D368, RawDataTable[Account Name and Number], RawDataTable[Entity], "RAW DATA MISSING"),
       IF(ISBLANK(_xlpm.lookupResult), "RAW DATA MISSING", _xlpm.lookupResult)
   )
)</f>
        <v>Empty Row</v>
      </c>
      <c r="B368" t="str">
        <f>IF(D368="Empty Row", "Empty Row",
   _xlfn.LET(
       _xlpm.rawDataLookup, _xlfn.XLOOKUP(D368,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68" s="56" t="str" cm="1">
        <f t="array" ref="C368">IF(D368="Empty Row", "Empty Row",
   IF(COUNTIF('Name Mapping'!H:AD, D368) &gt; 0,
      INDEX('Name Mapping'!F:F, MATCH(TRUE, MMULT(--('Name Mapping'!H:AD=D368), TRANSPOSE(COLUMN('Name Mapping'!H:AD)^0)) &gt; 0, 0)),
      "")
)</f>
        <v>Empty Row</v>
      </c>
      <c r="D368" t="str">
        <f>IF(RawDataTable[[#This Row],[Account Name and Number]]&lt;&gt;"", RawDataTable[[#This Row],[Account Name and Number]], "Empty Row")</f>
        <v>Empty Row</v>
      </c>
      <c r="E368" s="28" t="str">
        <f>IF(D368="Empty Row", "Empty Row",
   _xlfn.LET(
       _xlpm.lookupResult, _xlfn.XLOOKUP(D368, RawDataTable[Account Name and Number], RawDataTable[Investment Date], "MISSING VALUE"),
       IF(ISNUMBER(_xlpm.lookupResult), _xlpm.lookupResult, "INVALID VALUE")
   )
)</f>
        <v>Empty Row</v>
      </c>
      <c r="F368" s="29" t="str">
        <f>IF(D368="Empty Row", "Empty Row",
   _xlfn.LET(
       _xlpm.lookupResult, _xlfn.XLOOKUP(D368, RawDataTable[Account Name and Number], RawDataTable[Investment Amount], "MISSING VALUE"),
       IF(ISNUMBER(_xlpm.lookupResult), _xlpm.lookupResult, "INVALID VALUE")
   )
)</f>
        <v>Empty Row</v>
      </c>
      <c r="G368" s="28" t="str">
        <f t="shared" ca="1" si="5"/>
        <v>Empty Row</v>
      </c>
      <c r="H368" s="29" t="str">
        <f>IF(D368="Empty Row", "Empty Row",
   _xlfn.LET(
       _xlpm.lookupResult, _xlfn.XLOOKUP(D368, RawDataTable[Account Name and Number], RawDataTable[Valuation Amount], "MISSING VALUE"),
       IF(ISNUMBER(_xlpm.lookupResult), _xlpm.lookupResult, "INVALID VALUE")
   )
)</f>
        <v>Empty Row</v>
      </c>
      <c r="I368" s="2" t="str">
        <f>IF(D368="Empty Row", "Empty Row", IF(_xlfn.XLOOKUP(B368, MasterTable[IRA Custodian], MasterTable[Address], "")="", "NO STREET NAME FOUND", _xlfn.XLOOKUP(B368, MasterTable[IRA Custodian], MasterTable[Address], "")))</f>
        <v>Empty Row</v>
      </c>
      <c r="J368" s="2" t="str">
        <f>IF(D368="Empty Row", "Empty Row",
   IF(OR(
       _xlfn.XLOOKUP(B368, MasterTable[IRA Custodian], MasterTable[City], "")="",
       _xlfn.XLOOKUP(B368, MasterTable[IRA Custodian], MasterTable[State], "")="",
       _xlfn.XLOOKUP(B368, MasterTable[IRA Custodian], MasterTable[Zip], "")=""),
       "INCOMPLETE ADDRESS",
       _xlfn.CONCAT(
           _xlfn.XLOOKUP(B368, MasterTable[IRA Custodian], MasterTable[City], ""), ", ",
           _xlfn.XLOOKUP(B368, MasterTable[IRA Custodian], MasterTable[State], ""), " ",
           _xlfn.XLOOKUP(B368, MasterTable[IRA Custodian], MasterTable[Zip], "")
       )
   )
)</f>
        <v>Empty Row</v>
      </c>
    </row>
    <row r="369" spans="1:10" x14ac:dyDescent="0.25">
      <c r="A369" t="str">
        <f>IF(D369="Empty Row", "Empty Row",
   _xlfn.LET(
       _xlpm.lookupResult, _xlfn.XLOOKUP(D369, RawDataTable[Account Name and Number], RawDataTable[Entity], "RAW DATA MISSING"),
       IF(ISBLANK(_xlpm.lookupResult), "RAW DATA MISSING", _xlpm.lookupResult)
   )
)</f>
        <v>Empty Row</v>
      </c>
      <c r="B369" t="str">
        <f>IF(D369="Empty Row", "Empty Row",
   _xlfn.LET(
       _xlpm.rawDataLookup, _xlfn.XLOOKUP(D369,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69" s="56" t="str" cm="1">
        <f t="array" ref="C369">IF(D369="Empty Row", "Empty Row",
   IF(COUNTIF('Name Mapping'!H:AD, D369) &gt; 0,
      INDEX('Name Mapping'!F:F, MATCH(TRUE, MMULT(--('Name Mapping'!H:AD=D369), TRANSPOSE(COLUMN('Name Mapping'!H:AD)^0)) &gt; 0, 0)),
      "")
)</f>
        <v>Empty Row</v>
      </c>
      <c r="D369" t="str">
        <f>IF(RawDataTable[[#This Row],[Account Name and Number]]&lt;&gt;"", RawDataTable[[#This Row],[Account Name and Number]], "Empty Row")</f>
        <v>Empty Row</v>
      </c>
      <c r="E369" s="28" t="str">
        <f>IF(D369="Empty Row", "Empty Row",
   _xlfn.LET(
       _xlpm.lookupResult, _xlfn.XLOOKUP(D369, RawDataTable[Account Name and Number], RawDataTable[Investment Date], "MISSING VALUE"),
       IF(ISNUMBER(_xlpm.lookupResult), _xlpm.lookupResult, "INVALID VALUE")
   )
)</f>
        <v>Empty Row</v>
      </c>
      <c r="F369" s="29" t="str">
        <f>IF(D369="Empty Row", "Empty Row",
   _xlfn.LET(
       _xlpm.lookupResult, _xlfn.XLOOKUP(D369, RawDataTable[Account Name and Number], RawDataTable[Investment Amount], "MISSING VALUE"),
       IF(ISNUMBER(_xlpm.lookupResult), _xlpm.lookupResult, "INVALID VALUE")
   )
)</f>
        <v>Empty Row</v>
      </c>
      <c r="G369" s="28" t="str">
        <f t="shared" ca="1" si="5"/>
        <v>Empty Row</v>
      </c>
      <c r="H369" s="29" t="str">
        <f>IF(D369="Empty Row", "Empty Row",
   _xlfn.LET(
       _xlpm.lookupResult, _xlfn.XLOOKUP(D369, RawDataTable[Account Name and Number], RawDataTable[Valuation Amount], "MISSING VALUE"),
       IF(ISNUMBER(_xlpm.lookupResult), _xlpm.lookupResult, "INVALID VALUE")
   )
)</f>
        <v>Empty Row</v>
      </c>
      <c r="I369" s="2" t="str">
        <f>IF(D369="Empty Row", "Empty Row", IF(_xlfn.XLOOKUP(B369, MasterTable[IRA Custodian], MasterTable[Address], "")="", "NO STREET NAME FOUND", _xlfn.XLOOKUP(B369, MasterTable[IRA Custodian], MasterTable[Address], "")))</f>
        <v>Empty Row</v>
      </c>
      <c r="J369" s="2" t="str">
        <f>IF(D369="Empty Row", "Empty Row",
   IF(OR(
       _xlfn.XLOOKUP(B369, MasterTable[IRA Custodian], MasterTable[City], "")="",
       _xlfn.XLOOKUP(B369, MasterTable[IRA Custodian], MasterTable[State], "")="",
       _xlfn.XLOOKUP(B369, MasterTable[IRA Custodian], MasterTable[Zip], "")=""),
       "INCOMPLETE ADDRESS",
       _xlfn.CONCAT(
           _xlfn.XLOOKUP(B369, MasterTable[IRA Custodian], MasterTable[City], ""), ", ",
           _xlfn.XLOOKUP(B369, MasterTable[IRA Custodian], MasterTable[State], ""), " ",
           _xlfn.XLOOKUP(B369, MasterTable[IRA Custodian], MasterTable[Zip], "")
       )
   )
)</f>
        <v>Empty Row</v>
      </c>
    </row>
    <row r="370" spans="1:10" x14ac:dyDescent="0.25">
      <c r="A370" t="str">
        <f>IF(D370="Empty Row", "Empty Row",
   _xlfn.LET(
       _xlpm.lookupResult, _xlfn.XLOOKUP(D370, RawDataTable[Account Name and Number], RawDataTable[Entity], "RAW DATA MISSING"),
       IF(ISBLANK(_xlpm.lookupResult), "RAW DATA MISSING", _xlpm.lookupResult)
   )
)</f>
        <v>Empty Row</v>
      </c>
      <c r="B370" t="str">
        <f>IF(D370="Empty Row", "Empty Row",
   _xlfn.LET(
       _xlpm.rawDataLookup, _xlfn.XLOOKUP(D370,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70" s="56" t="str" cm="1">
        <f t="array" ref="C370">IF(D370="Empty Row", "Empty Row",
   IF(COUNTIF('Name Mapping'!H:AD, D370) &gt; 0,
      INDEX('Name Mapping'!F:F, MATCH(TRUE, MMULT(--('Name Mapping'!H:AD=D370), TRANSPOSE(COLUMN('Name Mapping'!H:AD)^0)) &gt; 0, 0)),
      "")
)</f>
        <v>Empty Row</v>
      </c>
      <c r="D370" t="str">
        <f>IF(RawDataTable[[#This Row],[Account Name and Number]]&lt;&gt;"", RawDataTable[[#This Row],[Account Name and Number]], "Empty Row")</f>
        <v>Empty Row</v>
      </c>
      <c r="E370" s="28" t="str">
        <f>IF(D370="Empty Row", "Empty Row",
   _xlfn.LET(
       _xlpm.lookupResult, _xlfn.XLOOKUP(D370, RawDataTable[Account Name and Number], RawDataTable[Investment Date], "MISSING VALUE"),
       IF(ISNUMBER(_xlpm.lookupResult), _xlpm.lookupResult, "INVALID VALUE")
   )
)</f>
        <v>Empty Row</v>
      </c>
      <c r="F370" s="29" t="str">
        <f>IF(D370="Empty Row", "Empty Row",
   _xlfn.LET(
       _xlpm.lookupResult, _xlfn.XLOOKUP(D370, RawDataTable[Account Name and Number], RawDataTable[Investment Amount], "MISSING VALUE"),
       IF(ISNUMBER(_xlpm.lookupResult), _xlpm.lookupResult, "INVALID VALUE")
   )
)</f>
        <v>Empty Row</v>
      </c>
      <c r="G370" s="28" t="str">
        <f t="shared" ca="1" si="5"/>
        <v>Empty Row</v>
      </c>
      <c r="H370" s="29" t="str">
        <f>IF(D370="Empty Row", "Empty Row",
   _xlfn.LET(
       _xlpm.lookupResult, _xlfn.XLOOKUP(D370, RawDataTable[Account Name and Number], RawDataTable[Valuation Amount], "MISSING VALUE"),
       IF(ISNUMBER(_xlpm.lookupResult), _xlpm.lookupResult, "INVALID VALUE")
   )
)</f>
        <v>Empty Row</v>
      </c>
      <c r="I370" s="2" t="str">
        <f>IF(D370="Empty Row", "Empty Row", IF(_xlfn.XLOOKUP(B370, MasterTable[IRA Custodian], MasterTable[Address], "")="", "NO STREET NAME FOUND", _xlfn.XLOOKUP(B370, MasterTable[IRA Custodian], MasterTable[Address], "")))</f>
        <v>Empty Row</v>
      </c>
      <c r="J370" s="2" t="str">
        <f>IF(D370="Empty Row", "Empty Row",
   IF(OR(
       _xlfn.XLOOKUP(B370, MasterTable[IRA Custodian], MasterTable[City], "")="",
       _xlfn.XLOOKUP(B370, MasterTable[IRA Custodian], MasterTable[State], "")="",
       _xlfn.XLOOKUP(B370, MasterTable[IRA Custodian], MasterTable[Zip], "")=""),
       "INCOMPLETE ADDRESS",
       _xlfn.CONCAT(
           _xlfn.XLOOKUP(B370, MasterTable[IRA Custodian], MasterTable[City], ""), ", ",
           _xlfn.XLOOKUP(B370, MasterTable[IRA Custodian], MasterTable[State], ""), " ",
           _xlfn.XLOOKUP(B370, MasterTable[IRA Custodian], MasterTable[Zip], "")
       )
   )
)</f>
        <v>Empty Row</v>
      </c>
    </row>
    <row r="371" spans="1:10" x14ac:dyDescent="0.25">
      <c r="A371" t="str">
        <f>IF(D371="Empty Row", "Empty Row",
   _xlfn.LET(
       _xlpm.lookupResult, _xlfn.XLOOKUP(D371, RawDataTable[Account Name and Number], RawDataTable[Entity], "RAW DATA MISSING"),
       IF(ISBLANK(_xlpm.lookupResult), "RAW DATA MISSING", _xlpm.lookupResult)
   )
)</f>
        <v>Empty Row</v>
      </c>
      <c r="B371" t="str">
        <f>IF(D371="Empty Row", "Empty Row",
   _xlfn.LET(
       _xlpm.rawDataLookup, _xlfn.XLOOKUP(D371,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71" s="56" t="str" cm="1">
        <f t="array" ref="C371">IF(D371="Empty Row", "Empty Row",
   IF(COUNTIF('Name Mapping'!H:AD, D371) &gt; 0,
      INDEX('Name Mapping'!F:F, MATCH(TRUE, MMULT(--('Name Mapping'!H:AD=D371), TRANSPOSE(COLUMN('Name Mapping'!H:AD)^0)) &gt; 0, 0)),
      "")
)</f>
        <v>Empty Row</v>
      </c>
      <c r="D371" t="str">
        <f>IF(RawDataTable[[#This Row],[Account Name and Number]]&lt;&gt;"", RawDataTable[[#This Row],[Account Name and Number]], "Empty Row")</f>
        <v>Empty Row</v>
      </c>
      <c r="E371" s="28" t="str">
        <f>IF(D371="Empty Row", "Empty Row",
   _xlfn.LET(
       _xlpm.lookupResult, _xlfn.XLOOKUP(D371, RawDataTable[Account Name and Number], RawDataTable[Investment Date], "MISSING VALUE"),
       IF(ISNUMBER(_xlpm.lookupResult), _xlpm.lookupResult, "INVALID VALUE")
   )
)</f>
        <v>Empty Row</v>
      </c>
      <c r="F371" s="29" t="str">
        <f>IF(D371="Empty Row", "Empty Row",
   _xlfn.LET(
       _xlpm.lookupResult, _xlfn.XLOOKUP(D371, RawDataTable[Account Name and Number], RawDataTable[Investment Amount], "MISSING VALUE"),
       IF(ISNUMBER(_xlpm.lookupResult), _xlpm.lookupResult, "INVALID VALUE")
   )
)</f>
        <v>Empty Row</v>
      </c>
      <c r="G371" s="28" t="str">
        <f t="shared" ca="1" si="5"/>
        <v>Empty Row</v>
      </c>
      <c r="H371" s="29" t="str">
        <f>IF(D371="Empty Row", "Empty Row",
   _xlfn.LET(
       _xlpm.lookupResult, _xlfn.XLOOKUP(D371, RawDataTable[Account Name and Number], RawDataTable[Valuation Amount], "MISSING VALUE"),
       IF(ISNUMBER(_xlpm.lookupResult), _xlpm.lookupResult, "INVALID VALUE")
   )
)</f>
        <v>Empty Row</v>
      </c>
      <c r="I371" s="2" t="str">
        <f>IF(D371="Empty Row", "Empty Row", IF(_xlfn.XLOOKUP(B371, MasterTable[IRA Custodian], MasterTable[Address], "")="", "NO STREET NAME FOUND", _xlfn.XLOOKUP(B371, MasterTable[IRA Custodian], MasterTable[Address], "")))</f>
        <v>Empty Row</v>
      </c>
      <c r="J371" s="2" t="str">
        <f>IF(D371="Empty Row", "Empty Row",
   IF(OR(
       _xlfn.XLOOKUP(B371, MasterTable[IRA Custodian], MasterTable[City], "")="",
       _xlfn.XLOOKUP(B371, MasterTable[IRA Custodian], MasterTable[State], "")="",
       _xlfn.XLOOKUP(B371, MasterTable[IRA Custodian], MasterTable[Zip], "")=""),
       "INCOMPLETE ADDRESS",
       _xlfn.CONCAT(
           _xlfn.XLOOKUP(B371, MasterTable[IRA Custodian], MasterTable[City], ""), ", ",
           _xlfn.XLOOKUP(B371, MasterTable[IRA Custodian], MasterTable[State], ""), " ",
           _xlfn.XLOOKUP(B371, MasterTable[IRA Custodian], MasterTable[Zip], "")
       )
   )
)</f>
        <v>Empty Row</v>
      </c>
    </row>
    <row r="372" spans="1:10" x14ac:dyDescent="0.25">
      <c r="A372" t="str">
        <f>IF(D372="Empty Row", "Empty Row",
   _xlfn.LET(
       _xlpm.lookupResult, _xlfn.XLOOKUP(D372, RawDataTable[Account Name and Number], RawDataTable[Entity], "RAW DATA MISSING"),
       IF(ISBLANK(_xlpm.lookupResult), "RAW DATA MISSING", _xlpm.lookupResult)
   )
)</f>
        <v>Empty Row</v>
      </c>
      <c r="B372" t="str">
        <f>IF(D372="Empty Row", "Empty Row",
   _xlfn.LET(
       _xlpm.rawDataLookup, _xlfn.XLOOKUP(D372,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72" s="56" t="str" cm="1">
        <f t="array" ref="C372">IF(D372="Empty Row", "Empty Row",
   IF(COUNTIF('Name Mapping'!H:AD, D372) &gt; 0,
      INDEX('Name Mapping'!F:F, MATCH(TRUE, MMULT(--('Name Mapping'!H:AD=D372), TRANSPOSE(COLUMN('Name Mapping'!H:AD)^0)) &gt; 0, 0)),
      "")
)</f>
        <v>Empty Row</v>
      </c>
      <c r="D372" t="str">
        <f>IF(RawDataTable[[#This Row],[Account Name and Number]]&lt;&gt;"", RawDataTable[[#This Row],[Account Name and Number]], "Empty Row")</f>
        <v>Empty Row</v>
      </c>
      <c r="E372" s="28" t="str">
        <f>IF(D372="Empty Row", "Empty Row",
   _xlfn.LET(
       _xlpm.lookupResult, _xlfn.XLOOKUP(D372, RawDataTable[Account Name and Number], RawDataTable[Investment Date], "MISSING VALUE"),
       IF(ISNUMBER(_xlpm.lookupResult), _xlpm.lookupResult, "INVALID VALUE")
   )
)</f>
        <v>Empty Row</v>
      </c>
      <c r="F372" s="29" t="str">
        <f>IF(D372="Empty Row", "Empty Row",
   _xlfn.LET(
       _xlpm.lookupResult, _xlfn.XLOOKUP(D372, RawDataTable[Account Name and Number], RawDataTable[Investment Amount], "MISSING VALUE"),
       IF(ISNUMBER(_xlpm.lookupResult), _xlpm.lookupResult, "INVALID VALUE")
   )
)</f>
        <v>Empty Row</v>
      </c>
      <c r="G372" s="28" t="str">
        <f t="shared" ca="1" si="5"/>
        <v>Empty Row</v>
      </c>
      <c r="H372" s="29" t="str">
        <f>IF(D372="Empty Row", "Empty Row",
   _xlfn.LET(
       _xlpm.lookupResult, _xlfn.XLOOKUP(D372, RawDataTable[Account Name and Number], RawDataTable[Valuation Amount], "MISSING VALUE"),
       IF(ISNUMBER(_xlpm.lookupResult), _xlpm.lookupResult, "INVALID VALUE")
   )
)</f>
        <v>Empty Row</v>
      </c>
      <c r="I372" s="2" t="str">
        <f>IF(D372="Empty Row", "Empty Row", IF(_xlfn.XLOOKUP(B372, MasterTable[IRA Custodian], MasterTable[Address], "")="", "NO STREET NAME FOUND", _xlfn.XLOOKUP(B372, MasterTable[IRA Custodian], MasterTable[Address], "")))</f>
        <v>Empty Row</v>
      </c>
      <c r="J372" s="2" t="str">
        <f>IF(D372="Empty Row", "Empty Row",
   IF(OR(
       _xlfn.XLOOKUP(B372, MasterTable[IRA Custodian], MasterTable[City], "")="",
       _xlfn.XLOOKUP(B372, MasterTable[IRA Custodian], MasterTable[State], "")="",
       _xlfn.XLOOKUP(B372, MasterTable[IRA Custodian], MasterTable[Zip], "")=""),
       "INCOMPLETE ADDRESS",
       _xlfn.CONCAT(
           _xlfn.XLOOKUP(B372, MasterTable[IRA Custodian], MasterTable[City], ""), ", ",
           _xlfn.XLOOKUP(B372, MasterTable[IRA Custodian], MasterTable[State], ""), " ",
           _xlfn.XLOOKUP(B372, MasterTable[IRA Custodian], MasterTable[Zip], "")
       )
   )
)</f>
        <v>Empty Row</v>
      </c>
    </row>
    <row r="373" spans="1:10" x14ac:dyDescent="0.25">
      <c r="A373" t="str">
        <f>IF(D373="Empty Row", "Empty Row",
   _xlfn.LET(
       _xlpm.lookupResult, _xlfn.XLOOKUP(D373, RawDataTable[Account Name and Number], RawDataTable[Entity], "RAW DATA MISSING"),
       IF(ISBLANK(_xlpm.lookupResult), "RAW DATA MISSING", _xlpm.lookupResult)
   )
)</f>
        <v>Empty Row</v>
      </c>
      <c r="B373" t="str">
        <f>IF(D373="Empty Row", "Empty Row",
   _xlfn.LET(
       _xlpm.rawDataLookup, _xlfn.XLOOKUP(D373,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73" s="56" t="str" cm="1">
        <f t="array" ref="C373">IF(D373="Empty Row", "Empty Row",
   IF(COUNTIF('Name Mapping'!H:AD, D373) &gt; 0,
      INDEX('Name Mapping'!F:F, MATCH(TRUE, MMULT(--('Name Mapping'!H:AD=D373), TRANSPOSE(COLUMN('Name Mapping'!H:AD)^0)) &gt; 0, 0)),
      "")
)</f>
        <v>Empty Row</v>
      </c>
      <c r="D373" t="str">
        <f>IF(RawDataTable[[#This Row],[Account Name and Number]]&lt;&gt;"", RawDataTable[[#This Row],[Account Name and Number]], "Empty Row")</f>
        <v>Empty Row</v>
      </c>
      <c r="E373" s="28" t="str">
        <f>IF(D373="Empty Row", "Empty Row",
   _xlfn.LET(
       _xlpm.lookupResult, _xlfn.XLOOKUP(D373, RawDataTable[Account Name and Number], RawDataTable[Investment Date], "MISSING VALUE"),
       IF(ISNUMBER(_xlpm.lookupResult), _xlpm.lookupResult, "INVALID VALUE")
   )
)</f>
        <v>Empty Row</v>
      </c>
      <c r="F373" s="29" t="str">
        <f>IF(D373="Empty Row", "Empty Row",
   _xlfn.LET(
       _xlpm.lookupResult, _xlfn.XLOOKUP(D373, RawDataTable[Account Name and Number], RawDataTable[Investment Amount], "MISSING VALUE"),
       IF(ISNUMBER(_xlpm.lookupResult), _xlpm.lookupResult, "INVALID VALUE")
   )
)</f>
        <v>Empty Row</v>
      </c>
      <c r="G373" s="28" t="str">
        <f t="shared" ca="1" si="5"/>
        <v>Empty Row</v>
      </c>
      <c r="H373" s="29" t="str">
        <f>IF(D373="Empty Row", "Empty Row",
   _xlfn.LET(
       _xlpm.lookupResult, _xlfn.XLOOKUP(D373, RawDataTable[Account Name and Number], RawDataTable[Valuation Amount], "MISSING VALUE"),
       IF(ISNUMBER(_xlpm.lookupResult), _xlpm.lookupResult, "INVALID VALUE")
   )
)</f>
        <v>Empty Row</v>
      </c>
      <c r="I373" s="2" t="str">
        <f>IF(D373="Empty Row", "Empty Row", IF(_xlfn.XLOOKUP(B373, MasterTable[IRA Custodian], MasterTable[Address], "")="", "NO STREET NAME FOUND", _xlfn.XLOOKUP(B373, MasterTable[IRA Custodian], MasterTable[Address], "")))</f>
        <v>Empty Row</v>
      </c>
      <c r="J373" s="2" t="str">
        <f>IF(D373="Empty Row", "Empty Row",
   IF(OR(
       _xlfn.XLOOKUP(B373, MasterTable[IRA Custodian], MasterTable[City], "")="",
       _xlfn.XLOOKUP(B373, MasterTable[IRA Custodian], MasterTable[State], "")="",
       _xlfn.XLOOKUP(B373, MasterTable[IRA Custodian], MasterTable[Zip], "")=""),
       "INCOMPLETE ADDRESS",
       _xlfn.CONCAT(
           _xlfn.XLOOKUP(B373, MasterTable[IRA Custodian], MasterTable[City], ""), ", ",
           _xlfn.XLOOKUP(B373, MasterTable[IRA Custodian], MasterTable[State], ""), " ",
           _xlfn.XLOOKUP(B373, MasterTable[IRA Custodian], MasterTable[Zip], "")
       )
   )
)</f>
        <v>Empty Row</v>
      </c>
    </row>
    <row r="374" spans="1:10" x14ac:dyDescent="0.25">
      <c r="A374" t="str">
        <f>IF(D374="Empty Row", "Empty Row",
   _xlfn.LET(
       _xlpm.lookupResult, _xlfn.XLOOKUP(D374, RawDataTable[Account Name and Number], RawDataTable[Entity], "RAW DATA MISSING"),
       IF(ISBLANK(_xlpm.lookupResult), "RAW DATA MISSING", _xlpm.lookupResult)
   )
)</f>
        <v>Empty Row</v>
      </c>
      <c r="B374" t="str">
        <f>IF(D374="Empty Row", "Empty Row",
   _xlfn.LET(
       _xlpm.rawDataLookup, _xlfn.XLOOKUP(D374,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74" s="56" t="str" cm="1">
        <f t="array" ref="C374">IF(D374="Empty Row", "Empty Row",
   IF(COUNTIF('Name Mapping'!H:AD, D374) &gt; 0,
      INDEX('Name Mapping'!F:F, MATCH(TRUE, MMULT(--('Name Mapping'!H:AD=D374), TRANSPOSE(COLUMN('Name Mapping'!H:AD)^0)) &gt; 0, 0)),
      "")
)</f>
        <v>Empty Row</v>
      </c>
      <c r="D374" t="str">
        <f>IF(RawDataTable[[#This Row],[Account Name and Number]]&lt;&gt;"", RawDataTable[[#This Row],[Account Name and Number]], "Empty Row")</f>
        <v>Empty Row</v>
      </c>
      <c r="E374" s="28" t="str">
        <f>IF(D374="Empty Row", "Empty Row",
   _xlfn.LET(
       _xlpm.lookupResult, _xlfn.XLOOKUP(D374, RawDataTable[Account Name and Number], RawDataTable[Investment Date], "MISSING VALUE"),
       IF(ISNUMBER(_xlpm.lookupResult), _xlpm.lookupResult, "INVALID VALUE")
   )
)</f>
        <v>Empty Row</v>
      </c>
      <c r="F374" s="29" t="str">
        <f>IF(D374="Empty Row", "Empty Row",
   _xlfn.LET(
       _xlpm.lookupResult, _xlfn.XLOOKUP(D374, RawDataTable[Account Name and Number], RawDataTable[Investment Amount], "MISSING VALUE"),
       IF(ISNUMBER(_xlpm.lookupResult), _xlpm.lookupResult, "INVALID VALUE")
   )
)</f>
        <v>Empty Row</v>
      </c>
      <c r="G374" s="28" t="str">
        <f t="shared" ca="1" si="5"/>
        <v>Empty Row</v>
      </c>
      <c r="H374" s="29" t="str">
        <f>IF(D374="Empty Row", "Empty Row",
   _xlfn.LET(
       _xlpm.lookupResult, _xlfn.XLOOKUP(D374, RawDataTable[Account Name and Number], RawDataTable[Valuation Amount], "MISSING VALUE"),
       IF(ISNUMBER(_xlpm.lookupResult), _xlpm.lookupResult, "INVALID VALUE")
   )
)</f>
        <v>Empty Row</v>
      </c>
      <c r="I374" s="2" t="str">
        <f>IF(D374="Empty Row", "Empty Row", IF(_xlfn.XLOOKUP(B374, MasterTable[IRA Custodian], MasterTable[Address], "")="", "NO STREET NAME FOUND", _xlfn.XLOOKUP(B374, MasterTable[IRA Custodian], MasterTable[Address], "")))</f>
        <v>Empty Row</v>
      </c>
      <c r="J374" s="2" t="str">
        <f>IF(D374="Empty Row", "Empty Row",
   IF(OR(
       _xlfn.XLOOKUP(B374, MasterTable[IRA Custodian], MasterTable[City], "")="",
       _xlfn.XLOOKUP(B374, MasterTable[IRA Custodian], MasterTable[State], "")="",
       _xlfn.XLOOKUP(B374, MasterTable[IRA Custodian], MasterTable[Zip], "")=""),
       "INCOMPLETE ADDRESS",
       _xlfn.CONCAT(
           _xlfn.XLOOKUP(B374, MasterTable[IRA Custodian], MasterTable[City], ""), ", ",
           _xlfn.XLOOKUP(B374, MasterTable[IRA Custodian], MasterTable[State], ""), " ",
           _xlfn.XLOOKUP(B374, MasterTable[IRA Custodian], MasterTable[Zip], "")
       )
   )
)</f>
        <v>Empty Row</v>
      </c>
    </row>
    <row r="375" spans="1:10" x14ac:dyDescent="0.25">
      <c r="A375" t="str">
        <f>IF(D375="Empty Row", "Empty Row",
   _xlfn.LET(
       _xlpm.lookupResult, _xlfn.XLOOKUP(D375, RawDataTable[Account Name and Number], RawDataTable[Entity], "RAW DATA MISSING"),
       IF(ISBLANK(_xlpm.lookupResult), "RAW DATA MISSING", _xlpm.lookupResult)
   )
)</f>
        <v>Empty Row</v>
      </c>
      <c r="B375" t="str">
        <f>IF(D375="Empty Row", "Empty Row",
   _xlfn.LET(
       _xlpm.rawDataLookup, _xlfn.XLOOKUP(D375,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75" s="56" t="str" cm="1">
        <f t="array" ref="C375">IF(D375="Empty Row", "Empty Row",
   IF(COUNTIF('Name Mapping'!H:AD, D375) &gt; 0,
      INDEX('Name Mapping'!F:F, MATCH(TRUE, MMULT(--('Name Mapping'!H:AD=D375), TRANSPOSE(COLUMN('Name Mapping'!H:AD)^0)) &gt; 0, 0)),
      "")
)</f>
        <v>Empty Row</v>
      </c>
      <c r="D375" t="str">
        <f>IF(RawDataTable[[#This Row],[Account Name and Number]]&lt;&gt;"", RawDataTable[[#This Row],[Account Name and Number]], "Empty Row")</f>
        <v>Empty Row</v>
      </c>
      <c r="E375" s="28" t="str">
        <f>IF(D375="Empty Row", "Empty Row",
   _xlfn.LET(
       _xlpm.lookupResult, _xlfn.XLOOKUP(D375, RawDataTable[Account Name and Number], RawDataTable[Investment Date], "MISSING VALUE"),
       IF(ISNUMBER(_xlpm.lookupResult), _xlpm.lookupResult, "INVALID VALUE")
   )
)</f>
        <v>Empty Row</v>
      </c>
      <c r="F375" s="29" t="str">
        <f>IF(D375="Empty Row", "Empty Row",
   _xlfn.LET(
       _xlpm.lookupResult, _xlfn.XLOOKUP(D375, RawDataTable[Account Name and Number], RawDataTable[Investment Amount], "MISSING VALUE"),
       IF(ISNUMBER(_xlpm.lookupResult), _xlpm.lookupResult, "INVALID VALUE")
   )
)</f>
        <v>Empty Row</v>
      </c>
      <c r="G375" s="28" t="str">
        <f t="shared" ca="1" si="5"/>
        <v>Empty Row</v>
      </c>
      <c r="H375" s="29" t="str">
        <f>IF(D375="Empty Row", "Empty Row",
   _xlfn.LET(
       _xlpm.lookupResult, _xlfn.XLOOKUP(D375, RawDataTable[Account Name and Number], RawDataTable[Valuation Amount], "MISSING VALUE"),
       IF(ISNUMBER(_xlpm.lookupResult), _xlpm.lookupResult, "INVALID VALUE")
   )
)</f>
        <v>Empty Row</v>
      </c>
      <c r="I375" s="2" t="str">
        <f>IF(D375="Empty Row", "Empty Row", IF(_xlfn.XLOOKUP(B375, MasterTable[IRA Custodian], MasterTable[Address], "")="", "NO STREET NAME FOUND", _xlfn.XLOOKUP(B375, MasterTable[IRA Custodian], MasterTable[Address], "")))</f>
        <v>Empty Row</v>
      </c>
      <c r="J375" s="2" t="str">
        <f>IF(D375="Empty Row", "Empty Row",
   IF(OR(
       _xlfn.XLOOKUP(B375, MasterTable[IRA Custodian], MasterTable[City], "")="",
       _xlfn.XLOOKUP(B375, MasterTable[IRA Custodian], MasterTable[State], "")="",
       _xlfn.XLOOKUP(B375, MasterTable[IRA Custodian], MasterTable[Zip], "")=""),
       "INCOMPLETE ADDRESS",
       _xlfn.CONCAT(
           _xlfn.XLOOKUP(B375, MasterTable[IRA Custodian], MasterTable[City], ""), ", ",
           _xlfn.XLOOKUP(B375, MasterTable[IRA Custodian], MasterTable[State], ""), " ",
           _xlfn.XLOOKUP(B375, MasterTable[IRA Custodian], MasterTable[Zip], "")
       )
   )
)</f>
        <v>Empty Row</v>
      </c>
    </row>
    <row r="376" spans="1:10" x14ac:dyDescent="0.25">
      <c r="A376" t="str">
        <f>IF(D376="Empty Row", "Empty Row",
   _xlfn.LET(
       _xlpm.lookupResult, _xlfn.XLOOKUP(D376, RawDataTable[Account Name and Number], RawDataTable[Entity], "RAW DATA MISSING"),
       IF(ISBLANK(_xlpm.lookupResult), "RAW DATA MISSING", _xlpm.lookupResult)
   )
)</f>
        <v>Empty Row</v>
      </c>
      <c r="B376" t="str">
        <f>IF(D376="Empty Row", "Empty Row",
   _xlfn.LET(
       _xlpm.rawDataLookup, _xlfn.XLOOKUP(D376,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76" s="56" t="str" cm="1">
        <f t="array" ref="C376">IF(D376="Empty Row", "Empty Row",
   IF(COUNTIF('Name Mapping'!H:AD, D376) &gt; 0,
      INDEX('Name Mapping'!F:F, MATCH(TRUE, MMULT(--('Name Mapping'!H:AD=D376), TRANSPOSE(COLUMN('Name Mapping'!H:AD)^0)) &gt; 0, 0)),
      "")
)</f>
        <v>Empty Row</v>
      </c>
      <c r="D376" t="str">
        <f>IF(RawDataTable[[#This Row],[Account Name and Number]]&lt;&gt;"", RawDataTable[[#This Row],[Account Name and Number]], "Empty Row")</f>
        <v>Empty Row</v>
      </c>
      <c r="E376" s="28" t="str">
        <f>IF(D376="Empty Row", "Empty Row",
   _xlfn.LET(
       _xlpm.lookupResult, _xlfn.XLOOKUP(D376, RawDataTable[Account Name and Number], RawDataTable[Investment Date], "MISSING VALUE"),
       IF(ISNUMBER(_xlpm.lookupResult), _xlpm.lookupResult, "INVALID VALUE")
   )
)</f>
        <v>Empty Row</v>
      </c>
      <c r="F376" s="29" t="str">
        <f>IF(D376="Empty Row", "Empty Row",
   _xlfn.LET(
       _xlpm.lookupResult, _xlfn.XLOOKUP(D376, RawDataTable[Account Name and Number], RawDataTable[Investment Amount], "MISSING VALUE"),
       IF(ISNUMBER(_xlpm.lookupResult), _xlpm.lookupResult, "INVALID VALUE")
   )
)</f>
        <v>Empty Row</v>
      </c>
      <c r="G376" s="28" t="str">
        <f t="shared" ca="1" si="5"/>
        <v>Empty Row</v>
      </c>
      <c r="H376" s="29" t="str">
        <f>IF(D376="Empty Row", "Empty Row",
   _xlfn.LET(
       _xlpm.lookupResult, _xlfn.XLOOKUP(D376, RawDataTable[Account Name and Number], RawDataTable[Valuation Amount], "MISSING VALUE"),
       IF(ISNUMBER(_xlpm.lookupResult), _xlpm.lookupResult, "INVALID VALUE")
   )
)</f>
        <v>Empty Row</v>
      </c>
      <c r="I376" s="2" t="str">
        <f>IF(D376="Empty Row", "Empty Row", IF(_xlfn.XLOOKUP(B376, MasterTable[IRA Custodian], MasterTable[Address], "")="", "NO STREET NAME FOUND", _xlfn.XLOOKUP(B376, MasterTable[IRA Custodian], MasterTable[Address], "")))</f>
        <v>Empty Row</v>
      </c>
      <c r="J376" s="2" t="str">
        <f>IF(D376="Empty Row", "Empty Row",
   IF(OR(
       _xlfn.XLOOKUP(B376, MasterTable[IRA Custodian], MasterTable[City], "")="",
       _xlfn.XLOOKUP(B376, MasterTable[IRA Custodian], MasterTable[State], "")="",
       _xlfn.XLOOKUP(B376, MasterTable[IRA Custodian], MasterTable[Zip], "")=""),
       "INCOMPLETE ADDRESS",
       _xlfn.CONCAT(
           _xlfn.XLOOKUP(B376, MasterTable[IRA Custodian], MasterTable[City], ""), ", ",
           _xlfn.XLOOKUP(B376, MasterTable[IRA Custodian], MasterTable[State], ""), " ",
           _xlfn.XLOOKUP(B376, MasterTable[IRA Custodian], MasterTable[Zip], "")
       )
   )
)</f>
        <v>Empty Row</v>
      </c>
    </row>
    <row r="377" spans="1:10" x14ac:dyDescent="0.25">
      <c r="A377" t="str">
        <f>IF(D377="Empty Row", "Empty Row",
   _xlfn.LET(
       _xlpm.lookupResult, _xlfn.XLOOKUP(D377, RawDataTable[Account Name and Number], RawDataTable[Entity], "RAW DATA MISSING"),
       IF(ISBLANK(_xlpm.lookupResult), "RAW DATA MISSING", _xlpm.lookupResult)
   )
)</f>
        <v>Empty Row</v>
      </c>
      <c r="B377" t="str">
        <f>IF(D377="Empty Row", "Empty Row",
   _xlfn.LET(
       _xlpm.rawDataLookup, _xlfn.XLOOKUP(D377,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77" s="56" t="str" cm="1">
        <f t="array" ref="C377">IF(D377="Empty Row", "Empty Row",
   IF(COUNTIF('Name Mapping'!H:AD, D377) &gt; 0,
      INDEX('Name Mapping'!F:F, MATCH(TRUE, MMULT(--('Name Mapping'!H:AD=D377), TRANSPOSE(COLUMN('Name Mapping'!H:AD)^0)) &gt; 0, 0)),
      "")
)</f>
        <v>Empty Row</v>
      </c>
      <c r="D377" t="str">
        <f>IF(RawDataTable[[#This Row],[Account Name and Number]]&lt;&gt;"", RawDataTable[[#This Row],[Account Name and Number]], "Empty Row")</f>
        <v>Empty Row</v>
      </c>
      <c r="E377" s="28" t="str">
        <f>IF(D377="Empty Row", "Empty Row",
   _xlfn.LET(
       _xlpm.lookupResult, _xlfn.XLOOKUP(D377, RawDataTable[Account Name and Number], RawDataTable[Investment Date], "MISSING VALUE"),
       IF(ISNUMBER(_xlpm.lookupResult), _xlpm.lookupResult, "INVALID VALUE")
   )
)</f>
        <v>Empty Row</v>
      </c>
      <c r="F377" s="29" t="str">
        <f>IF(D377="Empty Row", "Empty Row",
   _xlfn.LET(
       _xlpm.lookupResult, _xlfn.XLOOKUP(D377, RawDataTable[Account Name and Number], RawDataTable[Investment Amount], "MISSING VALUE"),
       IF(ISNUMBER(_xlpm.lookupResult), _xlpm.lookupResult, "INVALID VALUE")
   )
)</f>
        <v>Empty Row</v>
      </c>
      <c r="G377" s="28" t="str">
        <f t="shared" ca="1" si="5"/>
        <v>Empty Row</v>
      </c>
      <c r="H377" s="29" t="str">
        <f>IF(D377="Empty Row", "Empty Row",
   _xlfn.LET(
       _xlpm.lookupResult, _xlfn.XLOOKUP(D377, RawDataTable[Account Name and Number], RawDataTable[Valuation Amount], "MISSING VALUE"),
       IF(ISNUMBER(_xlpm.lookupResult), _xlpm.lookupResult, "INVALID VALUE")
   )
)</f>
        <v>Empty Row</v>
      </c>
      <c r="I377" s="2" t="str">
        <f>IF(D377="Empty Row", "Empty Row", IF(_xlfn.XLOOKUP(B377, MasterTable[IRA Custodian], MasterTable[Address], "")="", "NO STREET NAME FOUND", _xlfn.XLOOKUP(B377, MasterTable[IRA Custodian], MasterTable[Address], "")))</f>
        <v>Empty Row</v>
      </c>
      <c r="J377" s="2" t="str">
        <f>IF(D377="Empty Row", "Empty Row",
   IF(OR(
       _xlfn.XLOOKUP(B377, MasterTable[IRA Custodian], MasterTable[City], "")="",
       _xlfn.XLOOKUP(B377, MasterTable[IRA Custodian], MasterTable[State], "")="",
       _xlfn.XLOOKUP(B377, MasterTable[IRA Custodian], MasterTable[Zip], "")=""),
       "INCOMPLETE ADDRESS",
       _xlfn.CONCAT(
           _xlfn.XLOOKUP(B377, MasterTable[IRA Custodian], MasterTable[City], ""), ", ",
           _xlfn.XLOOKUP(B377, MasterTable[IRA Custodian], MasterTable[State], ""), " ",
           _xlfn.XLOOKUP(B377, MasterTable[IRA Custodian], MasterTable[Zip], "")
       )
   )
)</f>
        <v>Empty Row</v>
      </c>
    </row>
    <row r="378" spans="1:10" x14ac:dyDescent="0.25">
      <c r="A378" t="str">
        <f>IF(D378="Empty Row", "Empty Row",
   _xlfn.LET(
       _xlpm.lookupResult, _xlfn.XLOOKUP(D378, RawDataTable[Account Name and Number], RawDataTable[Entity], "RAW DATA MISSING"),
       IF(ISBLANK(_xlpm.lookupResult), "RAW DATA MISSING", _xlpm.lookupResult)
   )
)</f>
        <v>Empty Row</v>
      </c>
      <c r="B378" t="str">
        <f>IF(D378="Empty Row", "Empty Row",
   _xlfn.LET(
       _xlpm.rawDataLookup, _xlfn.XLOOKUP(D378,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78" s="56" t="str" cm="1">
        <f t="array" ref="C378">IF(D378="Empty Row", "Empty Row",
   IF(COUNTIF('Name Mapping'!H:AD, D378) &gt; 0,
      INDEX('Name Mapping'!F:F, MATCH(TRUE, MMULT(--('Name Mapping'!H:AD=D378), TRANSPOSE(COLUMN('Name Mapping'!H:AD)^0)) &gt; 0, 0)),
      "")
)</f>
        <v>Empty Row</v>
      </c>
      <c r="D378" t="str">
        <f>IF(RawDataTable[[#This Row],[Account Name and Number]]&lt;&gt;"", RawDataTable[[#This Row],[Account Name and Number]], "Empty Row")</f>
        <v>Empty Row</v>
      </c>
      <c r="E378" s="28" t="str">
        <f>IF(D378="Empty Row", "Empty Row",
   _xlfn.LET(
       _xlpm.lookupResult, _xlfn.XLOOKUP(D378, RawDataTable[Account Name and Number], RawDataTable[Investment Date], "MISSING VALUE"),
       IF(ISNUMBER(_xlpm.lookupResult), _xlpm.lookupResult, "INVALID VALUE")
   )
)</f>
        <v>Empty Row</v>
      </c>
      <c r="F378" s="29" t="str">
        <f>IF(D378="Empty Row", "Empty Row",
   _xlfn.LET(
       _xlpm.lookupResult, _xlfn.XLOOKUP(D378, RawDataTable[Account Name and Number], RawDataTable[Investment Amount], "MISSING VALUE"),
       IF(ISNUMBER(_xlpm.lookupResult), _xlpm.lookupResult, "INVALID VALUE")
   )
)</f>
        <v>Empty Row</v>
      </c>
      <c r="G378" s="28" t="str">
        <f t="shared" ca="1" si="5"/>
        <v>Empty Row</v>
      </c>
      <c r="H378" s="29" t="str">
        <f>IF(D378="Empty Row", "Empty Row",
   _xlfn.LET(
       _xlpm.lookupResult, _xlfn.XLOOKUP(D378, RawDataTable[Account Name and Number], RawDataTable[Valuation Amount], "MISSING VALUE"),
       IF(ISNUMBER(_xlpm.lookupResult), _xlpm.lookupResult, "INVALID VALUE")
   )
)</f>
        <v>Empty Row</v>
      </c>
      <c r="I378" s="2" t="str">
        <f>IF(D378="Empty Row", "Empty Row", IF(_xlfn.XLOOKUP(B378, MasterTable[IRA Custodian], MasterTable[Address], "")="", "NO STREET NAME FOUND", _xlfn.XLOOKUP(B378, MasterTable[IRA Custodian], MasterTable[Address], "")))</f>
        <v>Empty Row</v>
      </c>
      <c r="J378" s="2" t="str">
        <f>IF(D378="Empty Row", "Empty Row",
   IF(OR(
       _xlfn.XLOOKUP(B378, MasterTable[IRA Custodian], MasterTable[City], "")="",
       _xlfn.XLOOKUP(B378, MasterTable[IRA Custodian], MasterTable[State], "")="",
       _xlfn.XLOOKUP(B378, MasterTable[IRA Custodian], MasterTable[Zip], "")=""),
       "INCOMPLETE ADDRESS",
       _xlfn.CONCAT(
           _xlfn.XLOOKUP(B378, MasterTable[IRA Custodian], MasterTable[City], ""), ", ",
           _xlfn.XLOOKUP(B378, MasterTable[IRA Custodian], MasterTable[State], ""), " ",
           _xlfn.XLOOKUP(B378, MasterTable[IRA Custodian], MasterTable[Zip], "")
       )
   )
)</f>
        <v>Empty Row</v>
      </c>
    </row>
    <row r="379" spans="1:10" x14ac:dyDescent="0.25">
      <c r="A379" t="str">
        <f>IF(D379="Empty Row", "Empty Row",
   _xlfn.LET(
       _xlpm.lookupResult, _xlfn.XLOOKUP(D379, RawDataTable[Account Name and Number], RawDataTable[Entity], "RAW DATA MISSING"),
       IF(ISBLANK(_xlpm.lookupResult), "RAW DATA MISSING", _xlpm.lookupResult)
   )
)</f>
        <v>Empty Row</v>
      </c>
      <c r="B379" t="str">
        <f>IF(D379="Empty Row", "Empty Row",
   _xlfn.LET(
       _xlpm.rawDataLookup, _xlfn.XLOOKUP(D379,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79" s="56" t="str" cm="1">
        <f t="array" ref="C379">IF(D379="Empty Row", "Empty Row",
   IF(COUNTIF('Name Mapping'!H:AD, D379) &gt; 0,
      INDEX('Name Mapping'!F:F, MATCH(TRUE, MMULT(--('Name Mapping'!H:AD=D379), TRANSPOSE(COLUMN('Name Mapping'!H:AD)^0)) &gt; 0, 0)),
      "")
)</f>
        <v>Empty Row</v>
      </c>
      <c r="D379" t="str">
        <f>IF(RawDataTable[[#This Row],[Account Name and Number]]&lt;&gt;"", RawDataTable[[#This Row],[Account Name and Number]], "Empty Row")</f>
        <v>Empty Row</v>
      </c>
      <c r="E379" s="28" t="str">
        <f>IF(D379="Empty Row", "Empty Row",
   _xlfn.LET(
       _xlpm.lookupResult, _xlfn.XLOOKUP(D379, RawDataTable[Account Name and Number], RawDataTable[Investment Date], "MISSING VALUE"),
       IF(ISNUMBER(_xlpm.lookupResult), _xlpm.lookupResult, "INVALID VALUE")
   )
)</f>
        <v>Empty Row</v>
      </c>
      <c r="F379" s="29" t="str">
        <f>IF(D379="Empty Row", "Empty Row",
   _xlfn.LET(
       _xlpm.lookupResult, _xlfn.XLOOKUP(D379, RawDataTable[Account Name and Number], RawDataTable[Investment Amount], "MISSING VALUE"),
       IF(ISNUMBER(_xlpm.lookupResult), _xlpm.lookupResult, "INVALID VALUE")
   )
)</f>
        <v>Empty Row</v>
      </c>
      <c r="G379" s="28" t="str">
        <f t="shared" ca="1" si="5"/>
        <v>Empty Row</v>
      </c>
      <c r="H379" s="29" t="str">
        <f>IF(D379="Empty Row", "Empty Row",
   _xlfn.LET(
       _xlpm.lookupResult, _xlfn.XLOOKUP(D379, RawDataTable[Account Name and Number], RawDataTable[Valuation Amount], "MISSING VALUE"),
       IF(ISNUMBER(_xlpm.lookupResult), _xlpm.lookupResult, "INVALID VALUE")
   )
)</f>
        <v>Empty Row</v>
      </c>
      <c r="I379" s="2" t="str">
        <f>IF(D379="Empty Row", "Empty Row", IF(_xlfn.XLOOKUP(B379, MasterTable[IRA Custodian], MasterTable[Address], "")="", "NO STREET NAME FOUND", _xlfn.XLOOKUP(B379, MasterTable[IRA Custodian], MasterTable[Address], "")))</f>
        <v>Empty Row</v>
      </c>
      <c r="J379" s="2" t="str">
        <f>IF(D379="Empty Row", "Empty Row",
   IF(OR(
       _xlfn.XLOOKUP(B379, MasterTable[IRA Custodian], MasterTable[City], "")="",
       _xlfn.XLOOKUP(B379, MasterTable[IRA Custodian], MasterTable[State], "")="",
       _xlfn.XLOOKUP(B379, MasterTable[IRA Custodian], MasterTable[Zip], "")=""),
       "INCOMPLETE ADDRESS",
       _xlfn.CONCAT(
           _xlfn.XLOOKUP(B379, MasterTable[IRA Custodian], MasterTable[City], ""), ", ",
           _xlfn.XLOOKUP(B379, MasterTable[IRA Custodian], MasterTable[State], ""), " ",
           _xlfn.XLOOKUP(B379, MasterTable[IRA Custodian], MasterTable[Zip], "")
       )
   )
)</f>
        <v>Empty Row</v>
      </c>
    </row>
    <row r="380" spans="1:10" x14ac:dyDescent="0.25">
      <c r="A380" t="str">
        <f>IF(D380="Empty Row", "Empty Row",
   _xlfn.LET(
       _xlpm.lookupResult, _xlfn.XLOOKUP(D380, RawDataTable[Account Name and Number], RawDataTable[Entity], "RAW DATA MISSING"),
       IF(ISBLANK(_xlpm.lookupResult), "RAW DATA MISSING", _xlpm.lookupResult)
   )
)</f>
        <v>Empty Row</v>
      </c>
      <c r="B380" t="str">
        <f>IF(D380="Empty Row", "Empty Row",
   _xlfn.LET(
       _xlpm.rawDataLookup, _xlfn.XLOOKUP(D380,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80" s="56" t="str" cm="1">
        <f t="array" ref="C380">IF(D380="Empty Row", "Empty Row",
   IF(COUNTIF('Name Mapping'!H:AD, D380) &gt; 0,
      INDEX('Name Mapping'!F:F, MATCH(TRUE, MMULT(--('Name Mapping'!H:AD=D380), TRANSPOSE(COLUMN('Name Mapping'!H:AD)^0)) &gt; 0, 0)),
      "")
)</f>
        <v>Empty Row</v>
      </c>
      <c r="D380" t="str">
        <f>IF(RawDataTable[[#This Row],[Account Name and Number]]&lt;&gt;"", RawDataTable[[#This Row],[Account Name and Number]], "Empty Row")</f>
        <v>Empty Row</v>
      </c>
      <c r="E380" s="28" t="str">
        <f>IF(D380="Empty Row", "Empty Row",
   _xlfn.LET(
       _xlpm.lookupResult, _xlfn.XLOOKUP(D380, RawDataTable[Account Name and Number], RawDataTable[Investment Date], "MISSING VALUE"),
       IF(ISNUMBER(_xlpm.lookupResult), _xlpm.lookupResult, "INVALID VALUE")
   )
)</f>
        <v>Empty Row</v>
      </c>
      <c r="F380" s="29" t="str">
        <f>IF(D380="Empty Row", "Empty Row",
   _xlfn.LET(
       _xlpm.lookupResult, _xlfn.XLOOKUP(D380, RawDataTable[Account Name and Number], RawDataTable[Investment Amount], "MISSING VALUE"),
       IF(ISNUMBER(_xlpm.lookupResult), _xlpm.lookupResult, "INVALID VALUE")
   )
)</f>
        <v>Empty Row</v>
      </c>
      <c r="G380" s="28" t="str">
        <f t="shared" ca="1" si="5"/>
        <v>Empty Row</v>
      </c>
      <c r="H380" s="29" t="str">
        <f>IF(D380="Empty Row", "Empty Row",
   _xlfn.LET(
       _xlpm.lookupResult, _xlfn.XLOOKUP(D380, RawDataTable[Account Name and Number], RawDataTable[Valuation Amount], "MISSING VALUE"),
       IF(ISNUMBER(_xlpm.lookupResult), _xlpm.lookupResult, "INVALID VALUE")
   )
)</f>
        <v>Empty Row</v>
      </c>
      <c r="I380" s="2" t="str">
        <f>IF(D380="Empty Row", "Empty Row", IF(_xlfn.XLOOKUP(B380, MasterTable[IRA Custodian], MasterTable[Address], "")="", "NO STREET NAME FOUND", _xlfn.XLOOKUP(B380, MasterTable[IRA Custodian], MasterTable[Address], "")))</f>
        <v>Empty Row</v>
      </c>
      <c r="J380" s="2" t="str">
        <f>IF(D380="Empty Row", "Empty Row",
   IF(OR(
       _xlfn.XLOOKUP(B380, MasterTable[IRA Custodian], MasterTable[City], "")="",
       _xlfn.XLOOKUP(B380, MasterTable[IRA Custodian], MasterTable[State], "")="",
       _xlfn.XLOOKUP(B380, MasterTable[IRA Custodian], MasterTable[Zip], "")=""),
       "INCOMPLETE ADDRESS",
       _xlfn.CONCAT(
           _xlfn.XLOOKUP(B380, MasterTable[IRA Custodian], MasterTable[City], ""), ", ",
           _xlfn.XLOOKUP(B380, MasterTable[IRA Custodian], MasterTable[State], ""), " ",
           _xlfn.XLOOKUP(B380, MasterTable[IRA Custodian], MasterTable[Zip], "")
       )
   )
)</f>
        <v>Empty Row</v>
      </c>
    </row>
    <row r="381" spans="1:10" x14ac:dyDescent="0.25">
      <c r="A381" t="str">
        <f>IF(D381="Empty Row", "Empty Row",
   _xlfn.LET(
       _xlpm.lookupResult, _xlfn.XLOOKUP(D381, RawDataTable[Account Name and Number], RawDataTable[Entity], "RAW DATA MISSING"),
       IF(ISBLANK(_xlpm.lookupResult), "RAW DATA MISSING", _xlpm.lookupResult)
   )
)</f>
        <v>Empty Row</v>
      </c>
      <c r="B381" t="str">
        <f>IF(D381="Empty Row", "Empty Row",
   _xlfn.LET(
       _xlpm.rawDataLookup, _xlfn.XLOOKUP(D381,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81" s="56" t="str" cm="1">
        <f t="array" ref="C381">IF(D381="Empty Row", "Empty Row",
   IF(COUNTIF('Name Mapping'!H:AD, D381) &gt; 0,
      INDEX('Name Mapping'!F:F, MATCH(TRUE, MMULT(--('Name Mapping'!H:AD=D381), TRANSPOSE(COLUMN('Name Mapping'!H:AD)^0)) &gt; 0, 0)),
      "")
)</f>
        <v>Empty Row</v>
      </c>
      <c r="D381" t="str">
        <f>IF(RawDataTable[[#This Row],[Account Name and Number]]&lt;&gt;"", RawDataTable[[#This Row],[Account Name and Number]], "Empty Row")</f>
        <v>Empty Row</v>
      </c>
      <c r="E381" s="28" t="str">
        <f>IF(D381="Empty Row", "Empty Row",
   _xlfn.LET(
       _xlpm.lookupResult, _xlfn.XLOOKUP(D381, RawDataTable[Account Name and Number], RawDataTable[Investment Date], "MISSING VALUE"),
       IF(ISNUMBER(_xlpm.lookupResult), _xlpm.lookupResult, "INVALID VALUE")
   )
)</f>
        <v>Empty Row</v>
      </c>
      <c r="F381" s="29" t="str">
        <f>IF(D381="Empty Row", "Empty Row",
   _xlfn.LET(
       _xlpm.lookupResult, _xlfn.XLOOKUP(D381, RawDataTable[Account Name and Number], RawDataTable[Investment Amount], "MISSING VALUE"),
       IF(ISNUMBER(_xlpm.lookupResult), _xlpm.lookupResult, "INVALID VALUE")
   )
)</f>
        <v>Empty Row</v>
      </c>
      <c r="G381" s="28" t="str">
        <f t="shared" ca="1" si="5"/>
        <v>Empty Row</v>
      </c>
      <c r="H381" s="29" t="str">
        <f>IF(D381="Empty Row", "Empty Row",
   _xlfn.LET(
       _xlpm.lookupResult, _xlfn.XLOOKUP(D381, RawDataTable[Account Name and Number], RawDataTable[Valuation Amount], "MISSING VALUE"),
       IF(ISNUMBER(_xlpm.lookupResult), _xlpm.lookupResult, "INVALID VALUE")
   )
)</f>
        <v>Empty Row</v>
      </c>
      <c r="I381" s="2" t="str">
        <f>IF(D381="Empty Row", "Empty Row", IF(_xlfn.XLOOKUP(B381, MasterTable[IRA Custodian], MasterTable[Address], "")="", "NO STREET NAME FOUND", _xlfn.XLOOKUP(B381, MasterTable[IRA Custodian], MasterTable[Address], "")))</f>
        <v>Empty Row</v>
      </c>
      <c r="J381" s="2" t="str">
        <f>IF(D381="Empty Row", "Empty Row",
   IF(OR(
       _xlfn.XLOOKUP(B381, MasterTable[IRA Custodian], MasterTable[City], "")="",
       _xlfn.XLOOKUP(B381, MasterTable[IRA Custodian], MasterTable[State], "")="",
       _xlfn.XLOOKUP(B381, MasterTable[IRA Custodian], MasterTable[Zip], "")=""),
       "INCOMPLETE ADDRESS",
       _xlfn.CONCAT(
           _xlfn.XLOOKUP(B381, MasterTable[IRA Custodian], MasterTable[City], ""), ", ",
           _xlfn.XLOOKUP(B381, MasterTable[IRA Custodian], MasterTable[State], ""), " ",
           _xlfn.XLOOKUP(B381, MasterTable[IRA Custodian], MasterTable[Zip], "")
       )
   )
)</f>
        <v>Empty Row</v>
      </c>
    </row>
    <row r="382" spans="1:10" x14ac:dyDescent="0.25">
      <c r="A382" t="str">
        <f>IF(D382="Empty Row", "Empty Row",
   _xlfn.LET(
       _xlpm.lookupResult, _xlfn.XLOOKUP(D382, RawDataTable[Account Name and Number], RawDataTable[Entity], "RAW DATA MISSING"),
       IF(ISBLANK(_xlpm.lookupResult), "RAW DATA MISSING", _xlpm.lookupResult)
   )
)</f>
        <v>Empty Row</v>
      </c>
      <c r="B382" t="str">
        <f>IF(D382="Empty Row", "Empty Row",
   _xlfn.LET(
       _xlpm.rawDataLookup, _xlfn.XLOOKUP(D382,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82" s="56" t="str" cm="1">
        <f t="array" ref="C382">IF(D382="Empty Row", "Empty Row",
   IF(COUNTIF('Name Mapping'!H:AD, D382) &gt; 0,
      INDEX('Name Mapping'!F:F, MATCH(TRUE, MMULT(--('Name Mapping'!H:AD=D382), TRANSPOSE(COLUMN('Name Mapping'!H:AD)^0)) &gt; 0, 0)),
      "")
)</f>
        <v>Empty Row</v>
      </c>
      <c r="D382" t="str">
        <f>IF(RawDataTable[[#This Row],[Account Name and Number]]&lt;&gt;"", RawDataTable[[#This Row],[Account Name and Number]], "Empty Row")</f>
        <v>Empty Row</v>
      </c>
      <c r="E382" s="28" t="str">
        <f>IF(D382="Empty Row", "Empty Row",
   _xlfn.LET(
       _xlpm.lookupResult, _xlfn.XLOOKUP(D382, RawDataTable[Account Name and Number], RawDataTable[Investment Date], "MISSING VALUE"),
       IF(ISNUMBER(_xlpm.lookupResult), _xlpm.lookupResult, "INVALID VALUE")
   )
)</f>
        <v>Empty Row</v>
      </c>
      <c r="F382" s="29" t="str">
        <f>IF(D382="Empty Row", "Empty Row",
   _xlfn.LET(
       _xlpm.lookupResult, _xlfn.XLOOKUP(D382, RawDataTable[Account Name and Number], RawDataTable[Investment Amount], "MISSING VALUE"),
       IF(ISNUMBER(_xlpm.lookupResult), _xlpm.lookupResult, "INVALID VALUE")
   )
)</f>
        <v>Empty Row</v>
      </c>
      <c r="G382" s="28" t="str">
        <f t="shared" ca="1" si="5"/>
        <v>Empty Row</v>
      </c>
      <c r="H382" s="29" t="str">
        <f>IF(D382="Empty Row", "Empty Row",
   _xlfn.LET(
       _xlpm.lookupResult, _xlfn.XLOOKUP(D382, RawDataTable[Account Name and Number], RawDataTable[Valuation Amount], "MISSING VALUE"),
       IF(ISNUMBER(_xlpm.lookupResult), _xlpm.lookupResult, "INVALID VALUE")
   )
)</f>
        <v>Empty Row</v>
      </c>
      <c r="I382" s="2" t="str">
        <f>IF(D382="Empty Row", "Empty Row", IF(_xlfn.XLOOKUP(B382, MasterTable[IRA Custodian], MasterTable[Address], "")="", "NO STREET NAME FOUND", _xlfn.XLOOKUP(B382, MasterTable[IRA Custodian], MasterTable[Address], "")))</f>
        <v>Empty Row</v>
      </c>
      <c r="J382" s="2" t="str">
        <f>IF(D382="Empty Row", "Empty Row",
   IF(OR(
       _xlfn.XLOOKUP(B382, MasterTable[IRA Custodian], MasterTable[City], "")="",
       _xlfn.XLOOKUP(B382, MasterTable[IRA Custodian], MasterTable[State], "")="",
       _xlfn.XLOOKUP(B382, MasterTable[IRA Custodian], MasterTable[Zip], "")=""),
       "INCOMPLETE ADDRESS",
       _xlfn.CONCAT(
           _xlfn.XLOOKUP(B382, MasterTable[IRA Custodian], MasterTable[City], ""), ", ",
           _xlfn.XLOOKUP(B382, MasterTable[IRA Custodian], MasterTable[State], ""), " ",
           _xlfn.XLOOKUP(B382, MasterTable[IRA Custodian], MasterTable[Zip], "")
       )
   )
)</f>
        <v>Empty Row</v>
      </c>
    </row>
    <row r="383" spans="1:10" x14ac:dyDescent="0.25">
      <c r="A383" t="str">
        <f>IF(D383="Empty Row", "Empty Row",
   _xlfn.LET(
       _xlpm.lookupResult, _xlfn.XLOOKUP(D383, RawDataTable[Account Name and Number], RawDataTable[Entity], "RAW DATA MISSING"),
       IF(ISBLANK(_xlpm.lookupResult), "RAW DATA MISSING", _xlpm.lookupResult)
   )
)</f>
        <v>Empty Row</v>
      </c>
      <c r="B383" t="str">
        <f>IF(D383="Empty Row", "Empty Row",
   _xlfn.LET(
       _xlpm.rawDataLookup, _xlfn.XLOOKUP(D383,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83" s="56" t="str" cm="1">
        <f t="array" ref="C383">IF(D383="Empty Row", "Empty Row",
   IF(COUNTIF('Name Mapping'!H:AD, D383) &gt; 0,
      INDEX('Name Mapping'!F:F, MATCH(TRUE, MMULT(--('Name Mapping'!H:AD=D383), TRANSPOSE(COLUMN('Name Mapping'!H:AD)^0)) &gt; 0, 0)),
      "")
)</f>
        <v>Empty Row</v>
      </c>
      <c r="D383" t="str">
        <f>IF(RawDataTable[[#This Row],[Account Name and Number]]&lt;&gt;"", RawDataTable[[#This Row],[Account Name and Number]], "Empty Row")</f>
        <v>Empty Row</v>
      </c>
      <c r="E383" s="28" t="str">
        <f>IF(D383="Empty Row", "Empty Row",
   _xlfn.LET(
       _xlpm.lookupResult, _xlfn.XLOOKUP(D383, RawDataTable[Account Name and Number], RawDataTable[Investment Date], "MISSING VALUE"),
       IF(ISNUMBER(_xlpm.lookupResult), _xlpm.lookupResult, "INVALID VALUE")
   )
)</f>
        <v>Empty Row</v>
      </c>
      <c r="F383" s="29" t="str">
        <f>IF(D383="Empty Row", "Empty Row",
   _xlfn.LET(
       _xlpm.lookupResult, _xlfn.XLOOKUP(D383, RawDataTable[Account Name and Number], RawDataTable[Investment Amount], "MISSING VALUE"),
       IF(ISNUMBER(_xlpm.lookupResult), _xlpm.lookupResult, "INVALID VALUE")
   )
)</f>
        <v>Empty Row</v>
      </c>
      <c r="G383" s="28" t="str">
        <f t="shared" ca="1" si="5"/>
        <v>Empty Row</v>
      </c>
      <c r="H383" s="29" t="str">
        <f>IF(D383="Empty Row", "Empty Row",
   _xlfn.LET(
       _xlpm.lookupResult, _xlfn.XLOOKUP(D383, RawDataTable[Account Name and Number], RawDataTable[Valuation Amount], "MISSING VALUE"),
       IF(ISNUMBER(_xlpm.lookupResult), _xlpm.lookupResult, "INVALID VALUE")
   )
)</f>
        <v>Empty Row</v>
      </c>
      <c r="I383" s="2" t="str">
        <f>IF(D383="Empty Row", "Empty Row", IF(_xlfn.XLOOKUP(B383, MasterTable[IRA Custodian], MasterTable[Address], "")="", "NO STREET NAME FOUND", _xlfn.XLOOKUP(B383, MasterTable[IRA Custodian], MasterTable[Address], "")))</f>
        <v>Empty Row</v>
      </c>
      <c r="J383" s="2" t="str">
        <f>IF(D383="Empty Row", "Empty Row",
   IF(OR(
       _xlfn.XLOOKUP(B383, MasterTable[IRA Custodian], MasterTable[City], "")="",
       _xlfn.XLOOKUP(B383, MasterTable[IRA Custodian], MasterTable[State], "")="",
       _xlfn.XLOOKUP(B383, MasterTable[IRA Custodian], MasterTable[Zip], "")=""),
       "INCOMPLETE ADDRESS",
       _xlfn.CONCAT(
           _xlfn.XLOOKUP(B383, MasterTable[IRA Custodian], MasterTable[City], ""), ", ",
           _xlfn.XLOOKUP(B383, MasterTable[IRA Custodian], MasterTable[State], ""), " ",
           _xlfn.XLOOKUP(B383, MasterTable[IRA Custodian], MasterTable[Zip], "")
       )
   )
)</f>
        <v>Empty Row</v>
      </c>
    </row>
    <row r="384" spans="1:10" x14ac:dyDescent="0.25">
      <c r="A384" t="str">
        <f>IF(D384="Empty Row", "Empty Row",
   _xlfn.LET(
       _xlpm.lookupResult, _xlfn.XLOOKUP(D384, RawDataTable[Account Name and Number], RawDataTable[Entity], "RAW DATA MISSING"),
       IF(ISBLANK(_xlpm.lookupResult), "RAW DATA MISSING", _xlpm.lookupResult)
   )
)</f>
        <v>Empty Row</v>
      </c>
      <c r="B384" t="str">
        <f>IF(D384="Empty Row", "Empty Row",
   _xlfn.LET(
       _xlpm.rawDataLookup, _xlfn.XLOOKUP(D384,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84" s="56" t="str" cm="1">
        <f t="array" ref="C384">IF(D384="Empty Row", "Empty Row",
   IF(COUNTIF('Name Mapping'!H:AD, D384) &gt; 0,
      INDEX('Name Mapping'!F:F, MATCH(TRUE, MMULT(--('Name Mapping'!H:AD=D384), TRANSPOSE(COLUMN('Name Mapping'!H:AD)^0)) &gt; 0, 0)),
      "")
)</f>
        <v>Empty Row</v>
      </c>
      <c r="D384" t="str">
        <f>IF(RawDataTable[[#This Row],[Account Name and Number]]&lt;&gt;"", RawDataTable[[#This Row],[Account Name and Number]], "Empty Row")</f>
        <v>Empty Row</v>
      </c>
      <c r="E384" s="28" t="str">
        <f>IF(D384="Empty Row", "Empty Row",
   _xlfn.LET(
       _xlpm.lookupResult, _xlfn.XLOOKUP(D384, RawDataTable[Account Name and Number], RawDataTable[Investment Date], "MISSING VALUE"),
       IF(ISNUMBER(_xlpm.lookupResult), _xlpm.lookupResult, "INVALID VALUE")
   )
)</f>
        <v>Empty Row</v>
      </c>
      <c r="F384" s="29" t="str">
        <f>IF(D384="Empty Row", "Empty Row",
   _xlfn.LET(
       _xlpm.lookupResult, _xlfn.XLOOKUP(D384, RawDataTable[Account Name and Number], RawDataTable[Investment Amount], "MISSING VALUE"),
       IF(ISNUMBER(_xlpm.lookupResult), _xlpm.lookupResult, "INVALID VALUE")
   )
)</f>
        <v>Empty Row</v>
      </c>
      <c r="G384" s="28" t="str">
        <f t="shared" ca="1" si="5"/>
        <v>Empty Row</v>
      </c>
      <c r="H384" s="29" t="str">
        <f>IF(D384="Empty Row", "Empty Row",
   _xlfn.LET(
       _xlpm.lookupResult, _xlfn.XLOOKUP(D384, RawDataTable[Account Name and Number], RawDataTable[Valuation Amount], "MISSING VALUE"),
       IF(ISNUMBER(_xlpm.lookupResult), _xlpm.lookupResult, "INVALID VALUE")
   )
)</f>
        <v>Empty Row</v>
      </c>
      <c r="I384" s="2" t="str">
        <f>IF(D384="Empty Row", "Empty Row", IF(_xlfn.XLOOKUP(B384, MasterTable[IRA Custodian], MasterTable[Address], "")="", "NO STREET NAME FOUND", _xlfn.XLOOKUP(B384, MasterTable[IRA Custodian], MasterTable[Address], "")))</f>
        <v>Empty Row</v>
      </c>
      <c r="J384" s="2" t="str">
        <f>IF(D384="Empty Row", "Empty Row",
   IF(OR(
       _xlfn.XLOOKUP(B384, MasterTable[IRA Custodian], MasterTable[City], "")="",
       _xlfn.XLOOKUP(B384, MasterTable[IRA Custodian], MasterTable[State], "")="",
       _xlfn.XLOOKUP(B384, MasterTable[IRA Custodian], MasterTable[Zip], "")=""),
       "INCOMPLETE ADDRESS",
       _xlfn.CONCAT(
           _xlfn.XLOOKUP(B384, MasterTable[IRA Custodian], MasterTable[City], ""), ", ",
           _xlfn.XLOOKUP(B384, MasterTable[IRA Custodian], MasterTable[State], ""), " ",
           _xlfn.XLOOKUP(B384, MasterTable[IRA Custodian], MasterTable[Zip], "")
       )
   )
)</f>
        <v>Empty Row</v>
      </c>
    </row>
    <row r="385" spans="1:10" x14ac:dyDescent="0.25">
      <c r="A385" t="str">
        <f>IF(D385="Empty Row", "Empty Row",
   _xlfn.LET(
       _xlpm.lookupResult, _xlfn.XLOOKUP(D385, RawDataTable[Account Name and Number], RawDataTable[Entity], "RAW DATA MISSING"),
       IF(ISBLANK(_xlpm.lookupResult), "RAW DATA MISSING", _xlpm.lookupResult)
   )
)</f>
        <v>Empty Row</v>
      </c>
      <c r="B385" t="str">
        <f>IF(D385="Empty Row", "Empty Row",
   _xlfn.LET(
       _xlpm.rawDataLookup, _xlfn.XLOOKUP(D385,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85" s="56" t="str" cm="1">
        <f t="array" ref="C385">IF(D385="Empty Row", "Empty Row",
   IF(COUNTIF('Name Mapping'!H:AD, D385) &gt; 0,
      INDEX('Name Mapping'!F:F, MATCH(TRUE, MMULT(--('Name Mapping'!H:AD=D385), TRANSPOSE(COLUMN('Name Mapping'!H:AD)^0)) &gt; 0, 0)),
      "")
)</f>
        <v>Empty Row</v>
      </c>
      <c r="D385" t="str">
        <f>IF(RawDataTable[[#This Row],[Account Name and Number]]&lt;&gt;"", RawDataTable[[#This Row],[Account Name and Number]], "Empty Row")</f>
        <v>Empty Row</v>
      </c>
      <c r="E385" s="28" t="str">
        <f>IF(D385="Empty Row", "Empty Row",
   _xlfn.LET(
       _xlpm.lookupResult, _xlfn.XLOOKUP(D385, RawDataTable[Account Name and Number], RawDataTable[Investment Date], "MISSING VALUE"),
       IF(ISNUMBER(_xlpm.lookupResult), _xlpm.lookupResult, "INVALID VALUE")
   )
)</f>
        <v>Empty Row</v>
      </c>
      <c r="F385" s="29" t="str">
        <f>IF(D385="Empty Row", "Empty Row",
   _xlfn.LET(
       _xlpm.lookupResult, _xlfn.XLOOKUP(D385, RawDataTable[Account Name and Number], RawDataTable[Investment Amount], "MISSING VALUE"),
       IF(ISNUMBER(_xlpm.lookupResult), _xlpm.lookupResult, "INVALID VALUE")
   )
)</f>
        <v>Empty Row</v>
      </c>
      <c r="G385" s="28" t="str">
        <f t="shared" ca="1" si="5"/>
        <v>Empty Row</v>
      </c>
      <c r="H385" s="29" t="str">
        <f>IF(D385="Empty Row", "Empty Row",
   _xlfn.LET(
       _xlpm.lookupResult, _xlfn.XLOOKUP(D385, RawDataTable[Account Name and Number], RawDataTable[Valuation Amount], "MISSING VALUE"),
       IF(ISNUMBER(_xlpm.lookupResult), _xlpm.lookupResult, "INVALID VALUE")
   )
)</f>
        <v>Empty Row</v>
      </c>
      <c r="I385" s="2" t="str">
        <f>IF(D385="Empty Row", "Empty Row", IF(_xlfn.XLOOKUP(B385, MasterTable[IRA Custodian], MasterTable[Address], "")="", "NO STREET NAME FOUND", _xlfn.XLOOKUP(B385, MasterTable[IRA Custodian], MasterTable[Address], "")))</f>
        <v>Empty Row</v>
      </c>
      <c r="J385" s="2" t="str">
        <f>IF(D385="Empty Row", "Empty Row",
   IF(OR(
       _xlfn.XLOOKUP(B385, MasterTable[IRA Custodian], MasterTable[City], "")="",
       _xlfn.XLOOKUP(B385, MasterTable[IRA Custodian], MasterTable[State], "")="",
       _xlfn.XLOOKUP(B385, MasterTable[IRA Custodian], MasterTable[Zip], "")=""),
       "INCOMPLETE ADDRESS",
       _xlfn.CONCAT(
           _xlfn.XLOOKUP(B385, MasterTable[IRA Custodian], MasterTable[City], ""), ", ",
           _xlfn.XLOOKUP(B385, MasterTable[IRA Custodian], MasterTable[State], ""), " ",
           _xlfn.XLOOKUP(B385, MasterTable[IRA Custodian], MasterTable[Zip], "")
       )
   )
)</f>
        <v>Empty Row</v>
      </c>
    </row>
    <row r="386" spans="1:10" x14ac:dyDescent="0.25">
      <c r="A386" t="str">
        <f>IF(D386="Empty Row", "Empty Row",
   _xlfn.LET(
       _xlpm.lookupResult, _xlfn.XLOOKUP(D386, RawDataTable[Account Name and Number], RawDataTable[Entity], "RAW DATA MISSING"),
       IF(ISBLANK(_xlpm.lookupResult), "RAW DATA MISSING", _xlpm.lookupResult)
   )
)</f>
        <v>Empty Row</v>
      </c>
      <c r="B386" t="str">
        <f>IF(D386="Empty Row", "Empty Row",
   _xlfn.LET(
       _xlpm.rawDataLookup, _xlfn.XLOOKUP(D386,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86" s="56" t="str" cm="1">
        <f t="array" ref="C386">IF(D386="Empty Row", "Empty Row",
   IF(COUNTIF('Name Mapping'!H:AD, D386) &gt; 0,
      INDEX('Name Mapping'!F:F, MATCH(TRUE, MMULT(--('Name Mapping'!H:AD=D386), TRANSPOSE(COLUMN('Name Mapping'!H:AD)^0)) &gt; 0, 0)),
      "")
)</f>
        <v>Empty Row</v>
      </c>
      <c r="D386" t="str">
        <f>IF(RawDataTable[[#This Row],[Account Name and Number]]&lt;&gt;"", RawDataTable[[#This Row],[Account Name and Number]], "Empty Row")</f>
        <v>Empty Row</v>
      </c>
      <c r="E386" s="28" t="str">
        <f>IF(D386="Empty Row", "Empty Row",
   _xlfn.LET(
       _xlpm.lookupResult, _xlfn.XLOOKUP(D386, RawDataTable[Account Name and Number], RawDataTable[Investment Date], "MISSING VALUE"),
       IF(ISNUMBER(_xlpm.lookupResult), _xlpm.lookupResult, "INVALID VALUE")
   )
)</f>
        <v>Empty Row</v>
      </c>
      <c r="F386" s="29" t="str">
        <f>IF(D386="Empty Row", "Empty Row",
   _xlfn.LET(
       _xlpm.lookupResult, _xlfn.XLOOKUP(D386, RawDataTable[Account Name and Number], RawDataTable[Investment Amount], "MISSING VALUE"),
       IF(ISNUMBER(_xlpm.lookupResult), _xlpm.lookupResult, "INVALID VALUE")
   )
)</f>
        <v>Empty Row</v>
      </c>
      <c r="G386" s="28" t="str">
        <f t="shared" ca="1" si="5"/>
        <v>Empty Row</v>
      </c>
      <c r="H386" s="29" t="str">
        <f>IF(D386="Empty Row", "Empty Row",
   _xlfn.LET(
       _xlpm.lookupResult, _xlfn.XLOOKUP(D386, RawDataTable[Account Name and Number], RawDataTable[Valuation Amount], "MISSING VALUE"),
       IF(ISNUMBER(_xlpm.lookupResult), _xlpm.lookupResult, "INVALID VALUE")
   )
)</f>
        <v>Empty Row</v>
      </c>
      <c r="I386" s="2" t="str">
        <f>IF(D386="Empty Row", "Empty Row", IF(_xlfn.XLOOKUP(B386, MasterTable[IRA Custodian], MasterTable[Address], "")="", "NO STREET NAME FOUND", _xlfn.XLOOKUP(B386, MasterTable[IRA Custodian], MasterTable[Address], "")))</f>
        <v>Empty Row</v>
      </c>
      <c r="J386" s="2" t="str">
        <f>IF(D386="Empty Row", "Empty Row",
   IF(OR(
       _xlfn.XLOOKUP(B386, MasterTable[IRA Custodian], MasterTable[City], "")="",
       _xlfn.XLOOKUP(B386, MasterTable[IRA Custodian], MasterTable[State], "")="",
       _xlfn.XLOOKUP(B386, MasterTable[IRA Custodian], MasterTable[Zip], "")=""),
       "INCOMPLETE ADDRESS",
       _xlfn.CONCAT(
           _xlfn.XLOOKUP(B386, MasterTable[IRA Custodian], MasterTable[City], ""), ", ",
           _xlfn.XLOOKUP(B386, MasterTable[IRA Custodian], MasterTable[State], ""), " ",
           _xlfn.XLOOKUP(B386, MasterTable[IRA Custodian], MasterTable[Zip], "")
       )
   )
)</f>
        <v>Empty Row</v>
      </c>
    </row>
    <row r="387" spans="1:10" x14ac:dyDescent="0.25">
      <c r="A387" t="str">
        <f>IF(D387="Empty Row", "Empty Row",
   _xlfn.LET(
       _xlpm.lookupResult, _xlfn.XLOOKUP(D387, RawDataTable[Account Name and Number], RawDataTable[Entity], "RAW DATA MISSING"),
       IF(ISBLANK(_xlpm.lookupResult), "RAW DATA MISSING", _xlpm.lookupResult)
   )
)</f>
        <v>Empty Row</v>
      </c>
      <c r="B387" t="str">
        <f>IF(D387="Empty Row", "Empty Row",
   _xlfn.LET(
       _xlpm.rawDataLookup, _xlfn.XLOOKUP(D387,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87" s="56" t="str" cm="1">
        <f t="array" ref="C387">IF(D387="Empty Row", "Empty Row",
   IF(COUNTIF('Name Mapping'!H:AD, D387) &gt; 0,
      INDEX('Name Mapping'!F:F, MATCH(TRUE, MMULT(--('Name Mapping'!H:AD=D387), TRANSPOSE(COLUMN('Name Mapping'!H:AD)^0)) &gt; 0, 0)),
      "")
)</f>
        <v>Empty Row</v>
      </c>
      <c r="D387" t="str">
        <f>IF(RawDataTable[[#This Row],[Account Name and Number]]&lt;&gt;"", RawDataTable[[#This Row],[Account Name and Number]], "Empty Row")</f>
        <v>Empty Row</v>
      </c>
      <c r="E387" s="28" t="str">
        <f>IF(D387="Empty Row", "Empty Row",
   _xlfn.LET(
       _xlpm.lookupResult, _xlfn.XLOOKUP(D387, RawDataTable[Account Name and Number], RawDataTable[Investment Date], "MISSING VALUE"),
       IF(ISNUMBER(_xlpm.lookupResult), _xlpm.lookupResult, "INVALID VALUE")
   )
)</f>
        <v>Empty Row</v>
      </c>
      <c r="F387" s="29" t="str">
        <f>IF(D387="Empty Row", "Empty Row",
   _xlfn.LET(
       _xlpm.lookupResult, _xlfn.XLOOKUP(D387, RawDataTable[Account Name and Number], RawDataTable[Investment Amount], "MISSING VALUE"),
       IF(ISNUMBER(_xlpm.lookupResult), _xlpm.lookupResult, "INVALID VALUE")
   )
)</f>
        <v>Empty Row</v>
      </c>
      <c r="G387" s="28" t="str">
        <f t="shared" ref="G387:G450" ca="1" si="6">IF(D387="Empty Row", "Empty Row",
   IF(ISNUMBER(TODAY()), TODAY(), "INVALID VALUE")
)</f>
        <v>Empty Row</v>
      </c>
      <c r="H387" s="29" t="str">
        <f>IF(D387="Empty Row", "Empty Row",
   _xlfn.LET(
       _xlpm.lookupResult, _xlfn.XLOOKUP(D387, RawDataTable[Account Name and Number], RawDataTable[Valuation Amount], "MISSING VALUE"),
       IF(ISNUMBER(_xlpm.lookupResult), _xlpm.lookupResult, "INVALID VALUE")
   )
)</f>
        <v>Empty Row</v>
      </c>
      <c r="I387" s="2" t="str">
        <f>IF(D387="Empty Row", "Empty Row", IF(_xlfn.XLOOKUP(B387, MasterTable[IRA Custodian], MasterTable[Address], "")="", "NO STREET NAME FOUND", _xlfn.XLOOKUP(B387, MasterTable[IRA Custodian], MasterTable[Address], "")))</f>
        <v>Empty Row</v>
      </c>
      <c r="J387" s="2" t="str">
        <f>IF(D387="Empty Row", "Empty Row",
   IF(OR(
       _xlfn.XLOOKUP(B387, MasterTable[IRA Custodian], MasterTable[City], "")="",
       _xlfn.XLOOKUP(B387, MasterTable[IRA Custodian], MasterTable[State], "")="",
       _xlfn.XLOOKUP(B387, MasterTable[IRA Custodian], MasterTable[Zip], "")=""),
       "INCOMPLETE ADDRESS",
       _xlfn.CONCAT(
           _xlfn.XLOOKUP(B387, MasterTable[IRA Custodian], MasterTable[City], ""), ", ",
           _xlfn.XLOOKUP(B387, MasterTable[IRA Custodian], MasterTable[State], ""), " ",
           _xlfn.XLOOKUP(B387, MasterTable[IRA Custodian], MasterTable[Zip], "")
       )
   )
)</f>
        <v>Empty Row</v>
      </c>
    </row>
    <row r="388" spans="1:10" x14ac:dyDescent="0.25">
      <c r="A388" t="str">
        <f>IF(D388="Empty Row", "Empty Row",
   _xlfn.LET(
       _xlpm.lookupResult, _xlfn.XLOOKUP(D388, RawDataTable[Account Name and Number], RawDataTable[Entity], "RAW DATA MISSING"),
       IF(ISBLANK(_xlpm.lookupResult), "RAW DATA MISSING", _xlpm.lookupResult)
   )
)</f>
        <v>Empty Row</v>
      </c>
      <c r="B388" t="str">
        <f>IF(D388="Empty Row", "Empty Row",
   _xlfn.LET(
       _xlpm.rawDataLookup, _xlfn.XLOOKUP(D388,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88" s="56" t="str" cm="1">
        <f t="array" ref="C388">IF(D388="Empty Row", "Empty Row",
   IF(COUNTIF('Name Mapping'!H:AD, D388) &gt; 0,
      INDEX('Name Mapping'!F:F, MATCH(TRUE, MMULT(--('Name Mapping'!H:AD=D388), TRANSPOSE(COLUMN('Name Mapping'!H:AD)^0)) &gt; 0, 0)),
      "")
)</f>
        <v>Empty Row</v>
      </c>
      <c r="D388" t="str">
        <f>IF(RawDataTable[[#This Row],[Account Name and Number]]&lt;&gt;"", RawDataTable[[#This Row],[Account Name and Number]], "Empty Row")</f>
        <v>Empty Row</v>
      </c>
      <c r="E388" s="28" t="str">
        <f>IF(D388="Empty Row", "Empty Row",
   _xlfn.LET(
       _xlpm.lookupResult, _xlfn.XLOOKUP(D388, RawDataTable[Account Name and Number], RawDataTable[Investment Date], "MISSING VALUE"),
       IF(ISNUMBER(_xlpm.lookupResult), _xlpm.lookupResult, "INVALID VALUE")
   )
)</f>
        <v>Empty Row</v>
      </c>
      <c r="F388" s="29" t="str">
        <f>IF(D388="Empty Row", "Empty Row",
   _xlfn.LET(
       _xlpm.lookupResult, _xlfn.XLOOKUP(D388, RawDataTable[Account Name and Number], RawDataTable[Investment Amount], "MISSING VALUE"),
       IF(ISNUMBER(_xlpm.lookupResult), _xlpm.lookupResult, "INVALID VALUE")
   )
)</f>
        <v>Empty Row</v>
      </c>
      <c r="G388" s="28" t="str">
        <f t="shared" ca="1" si="6"/>
        <v>Empty Row</v>
      </c>
      <c r="H388" s="29" t="str">
        <f>IF(D388="Empty Row", "Empty Row",
   _xlfn.LET(
       _xlpm.lookupResult, _xlfn.XLOOKUP(D388, RawDataTable[Account Name and Number], RawDataTable[Valuation Amount], "MISSING VALUE"),
       IF(ISNUMBER(_xlpm.lookupResult), _xlpm.lookupResult, "INVALID VALUE")
   )
)</f>
        <v>Empty Row</v>
      </c>
      <c r="I388" s="2" t="str">
        <f>IF(D388="Empty Row", "Empty Row", IF(_xlfn.XLOOKUP(B388, MasterTable[IRA Custodian], MasterTable[Address], "")="", "NO STREET NAME FOUND", _xlfn.XLOOKUP(B388, MasterTable[IRA Custodian], MasterTable[Address], "")))</f>
        <v>Empty Row</v>
      </c>
      <c r="J388" s="2" t="str">
        <f>IF(D388="Empty Row", "Empty Row",
   IF(OR(
       _xlfn.XLOOKUP(B388, MasterTable[IRA Custodian], MasterTable[City], "")="",
       _xlfn.XLOOKUP(B388, MasterTable[IRA Custodian], MasterTable[State], "")="",
       _xlfn.XLOOKUP(B388, MasterTable[IRA Custodian], MasterTable[Zip], "")=""),
       "INCOMPLETE ADDRESS",
       _xlfn.CONCAT(
           _xlfn.XLOOKUP(B388, MasterTable[IRA Custodian], MasterTable[City], ""), ", ",
           _xlfn.XLOOKUP(B388, MasterTable[IRA Custodian], MasterTable[State], ""), " ",
           _xlfn.XLOOKUP(B388, MasterTable[IRA Custodian], MasterTable[Zip], "")
       )
   )
)</f>
        <v>Empty Row</v>
      </c>
    </row>
    <row r="389" spans="1:10" x14ac:dyDescent="0.25">
      <c r="A389" t="str">
        <f>IF(D389="Empty Row", "Empty Row",
   _xlfn.LET(
       _xlpm.lookupResult, _xlfn.XLOOKUP(D389, RawDataTable[Account Name and Number], RawDataTable[Entity], "RAW DATA MISSING"),
       IF(ISBLANK(_xlpm.lookupResult), "RAW DATA MISSING", _xlpm.lookupResult)
   )
)</f>
        <v>Empty Row</v>
      </c>
      <c r="B389" t="str">
        <f>IF(D389="Empty Row", "Empty Row",
   _xlfn.LET(
       _xlpm.rawDataLookup, _xlfn.XLOOKUP(D389,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89" s="56" t="str" cm="1">
        <f t="array" ref="C389">IF(D389="Empty Row", "Empty Row",
   IF(COUNTIF('Name Mapping'!H:AD, D389) &gt; 0,
      INDEX('Name Mapping'!F:F, MATCH(TRUE, MMULT(--('Name Mapping'!H:AD=D389), TRANSPOSE(COLUMN('Name Mapping'!H:AD)^0)) &gt; 0, 0)),
      "")
)</f>
        <v>Empty Row</v>
      </c>
      <c r="D389" t="str">
        <f>IF(RawDataTable[[#This Row],[Account Name and Number]]&lt;&gt;"", RawDataTable[[#This Row],[Account Name and Number]], "Empty Row")</f>
        <v>Empty Row</v>
      </c>
      <c r="E389" s="28" t="str">
        <f>IF(D389="Empty Row", "Empty Row",
   _xlfn.LET(
       _xlpm.lookupResult, _xlfn.XLOOKUP(D389, RawDataTable[Account Name and Number], RawDataTable[Investment Date], "MISSING VALUE"),
       IF(ISNUMBER(_xlpm.lookupResult), _xlpm.lookupResult, "INVALID VALUE")
   )
)</f>
        <v>Empty Row</v>
      </c>
      <c r="F389" s="29" t="str">
        <f>IF(D389="Empty Row", "Empty Row",
   _xlfn.LET(
       _xlpm.lookupResult, _xlfn.XLOOKUP(D389, RawDataTable[Account Name and Number], RawDataTable[Investment Amount], "MISSING VALUE"),
       IF(ISNUMBER(_xlpm.lookupResult), _xlpm.lookupResult, "INVALID VALUE")
   )
)</f>
        <v>Empty Row</v>
      </c>
      <c r="G389" s="28" t="str">
        <f t="shared" ca="1" si="6"/>
        <v>Empty Row</v>
      </c>
      <c r="H389" s="29" t="str">
        <f>IF(D389="Empty Row", "Empty Row",
   _xlfn.LET(
       _xlpm.lookupResult, _xlfn.XLOOKUP(D389, RawDataTable[Account Name and Number], RawDataTable[Valuation Amount], "MISSING VALUE"),
       IF(ISNUMBER(_xlpm.lookupResult), _xlpm.lookupResult, "INVALID VALUE")
   )
)</f>
        <v>Empty Row</v>
      </c>
      <c r="I389" s="2" t="str">
        <f>IF(D389="Empty Row", "Empty Row", IF(_xlfn.XLOOKUP(B389, MasterTable[IRA Custodian], MasterTable[Address], "")="", "NO STREET NAME FOUND", _xlfn.XLOOKUP(B389, MasterTable[IRA Custodian], MasterTable[Address], "")))</f>
        <v>Empty Row</v>
      </c>
      <c r="J389" s="2" t="str">
        <f>IF(D389="Empty Row", "Empty Row",
   IF(OR(
       _xlfn.XLOOKUP(B389, MasterTable[IRA Custodian], MasterTable[City], "")="",
       _xlfn.XLOOKUP(B389, MasterTable[IRA Custodian], MasterTable[State], "")="",
       _xlfn.XLOOKUP(B389, MasterTable[IRA Custodian], MasterTable[Zip], "")=""),
       "INCOMPLETE ADDRESS",
       _xlfn.CONCAT(
           _xlfn.XLOOKUP(B389, MasterTable[IRA Custodian], MasterTable[City], ""), ", ",
           _xlfn.XLOOKUP(B389, MasterTable[IRA Custodian], MasterTable[State], ""), " ",
           _xlfn.XLOOKUP(B389, MasterTable[IRA Custodian], MasterTable[Zip], "")
       )
   )
)</f>
        <v>Empty Row</v>
      </c>
    </row>
    <row r="390" spans="1:10" x14ac:dyDescent="0.25">
      <c r="A390" t="str">
        <f>IF(D390="Empty Row", "Empty Row",
   _xlfn.LET(
       _xlpm.lookupResult, _xlfn.XLOOKUP(D390, RawDataTable[Account Name and Number], RawDataTable[Entity], "RAW DATA MISSING"),
       IF(ISBLANK(_xlpm.lookupResult), "RAW DATA MISSING", _xlpm.lookupResult)
   )
)</f>
        <v>Empty Row</v>
      </c>
      <c r="B390" t="str">
        <f>IF(D390="Empty Row", "Empty Row",
   _xlfn.LET(
       _xlpm.rawDataLookup, _xlfn.XLOOKUP(D390,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90" s="56" t="str" cm="1">
        <f t="array" ref="C390">IF(D390="Empty Row", "Empty Row",
   IF(COUNTIF('Name Mapping'!H:AD, D390) &gt; 0,
      INDEX('Name Mapping'!F:F, MATCH(TRUE, MMULT(--('Name Mapping'!H:AD=D390), TRANSPOSE(COLUMN('Name Mapping'!H:AD)^0)) &gt; 0, 0)),
      "")
)</f>
        <v>Empty Row</v>
      </c>
      <c r="D390" t="str">
        <f>IF(RawDataTable[[#This Row],[Account Name and Number]]&lt;&gt;"", RawDataTable[[#This Row],[Account Name and Number]], "Empty Row")</f>
        <v>Empty Row</v>
      </c>
      <c r="E390" s="28" t="str">
        <f>IF(D390="Empty Row", "Empty Row",
   _xlfn.LET(
       _xlpm.lookupResult, _xlfn.XLOOKUP(D390, RawDataTable[Account Name and Number], RawDataTable[Investment Date], "MISSING VALUE"),
       IF(ISNUMBER(_xlpm.lookupResult), _xlpm.lookupResult, "INVALID VALUE")
   )
)</f>
        <v>Empty Row</v>
      </c>
      <c r="F390" s="29" t="str">
        <f>IF(D390="Empty Row", "Empty Row",
   _xlfn.LET(
       _xlpm.lookupResult, _xlfn.XLOOKUP(D390, RawDataTable[Account Name and Number], RawDataTable[Investment Amount], "MISSING VALUE"),
       IF(ISNUMBER(_xlpm.lookupResult), _xlpm.lookupResult, "INVALID VALUE")
   )
)</f>
        <v>Empty Row</v>
      </c>
      <c r="G390" s="28" t="str">
        <f t="shared" ca="1" si="6"/>
        <v>Empty Row</v>
      </c>
      <c r="H390" s="29" t="str">
        <f>IF(D390="Empty Row", "Empty Row",
   _xlfn.LET(
       _xlpm.lookupResult, _xlfn.XLOOKUP(D390, RawDataTable[Account Name and Number], RawDataTable[Valuation Amount], "MISSING VALUE"),
       IF(ISNUMBER(_xlpm.lookupResult), _xlpm.lookupResult, "INVALID VALUE")
   )
)</f>
        <v>Empty Row</v>
      </c>
      <c r="I390" s="2" t="str">
        <f>IF(D390="Empty Row", "Empty Row", IF(_xlfn.XLOOKUP(B390, MasterTable[IRA Custodian], MasterTable[Address], "")="", "NO STREET NAME FOUND", _xlfn.XLOOKUP(B390, MasterTable[IRA Custodian], MasterTable[Address], "")))</f>
        <v>Empty Row</v>
      </c>
      <c r="J390" s="2" t="str">
        <f>IF(D390="Empty Row", "Empty Row",
   IF(OR(
       _xlfn.XLOOKUP(B390, MasterTable[IRA Custodian], MasterTable[City], "")="",
       _xlfn.XLOOKUP(B390, MasterTable[IRA Custodian], MasterTable[State], "")="",
       _xlfn.XLOOKUP(B390, MasterTable[IRA Custodian], MasterTable[Zip], "")=""),
       "INCOMPLETE ADDRESS",
       _xlfn.CONCAT(
           _xlfn.XLOOKUP(B390, MasterTable[IRA Custodian], MasterTable[City], ""), ", ",
           _xlfn.XLOOKUP(B390, MasterTable[IRA Custodian], MasterTable[State], ""), " ",
           _xlfn.XLOOKUP(B390, MasterTable[IRA Custodian], MasterTable[Zip], "")
       )
   )
)</f>
        <v>Empty Row</v>
      </c>
    </row>
    <row r="391" spans="1:10" x14ac:dyDescent="0.25">
      <c r="A391" t="str">
        <f>IF(D391="Empty Row", "Empty Row",
   _xlfn.LET(
       _xlpm.lookupResult, _xlfn.XLOOKUP(D391, RawDataTable[Account Name and Number], RawDataTable[Entity], "RAW DATA MISSING"),
       IF(ISBLANK(_xlpm.lookupResult), "RAW DATA MISSING", _xlpm.lookupResult)
   )
)</f>
        <v>Empty Row</v>
      </c>
      <c r="B391" t="str">
        <f>IF(D391="Empty Row", "Empty Row",
   _xlfn.LET(
       _xlpm.rawDataLookup, _xlfn.XLOOKUP(D391,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91" s="56" t="str" cm="1">
        <f t="array" ref="C391">IF(D391="Empty Row", "Empty Row",
   IF(COUNTIF('Name Mapping'!H:AD, D391) &gt; 0,
      INDEX('Name Mapping'!F:F, MATCH(TRUE, MMULT(--('Name Mapping'!H:AD=D391), TRANSPOSE(COLUMN('Name Mapping'!H:AD)^0)) &gt; 0, 0)),
      "")
)</f>
        <v>Empty Row</v>
      </c>
      <c r="D391" t="str">
        <f>IF(RawDataTable[[#This Row],[Account Name and Number]]&lt;&gt;"", RawDataTable[[#This Row],[Account Name and Number]], "Empty Row")</f>
        <v>Empty Row</v>
      </c>
      <c r="E391" s="28" t="str">
        <f>IF(D391="Empty Row", "Empty Row",
   _xlfn.LET(
       _xlpm.lookupResult, _xlfn.XLOOKUP(D391, RawDataTable[Account Name and Number], RawDataTable[Investment Date], "MISSING VALUE"),
       IF(ISNUMBER(_xlpm.lookupResult), _xlpm.lookupResult, "INVALID VALUE")
   )
)</f>
        <v>Empty Row</v>
      </c>
      <c r="F391" s="29" t="str">
        <f>IF(D391="Empty Row", "Empty Row",
   _xlfn.LET(
       _xlpm.lookupResult, _xlfn.XLOOKUP(D391, RawDataTable[Account Name and Number], RawDataTable[Investment Amount], "MISSING VALUE"),
       IF(ISNUMBER(_xlpm.lookupResult), _xlpm.lookupResult, "INVALID VALUE")
   )
)</f>
        <v>Empty Row</v>
      </c>
      <c r="G391" s="28" t="str">
        <f t="shared" ca="1" si="6"/>
        <v>Empty Row</v>
      </c>
      <c r="H391" s="29" t="str">
        <f>IF(D391="Empty Row", "Empty Row",
   _xlfn.LET(
       _xlpm.lookupResult, _xlfn.XLOOKUP(D391, RawDataTable[Account Name and Number], RawDataTable[Valuation Amount], "MISSING VALUE"),
       IF(ISNUMBER(_xlpm.lookupResult), _xlpm.lookupResult, "INVALID VALUE")
   )
)</f>
        <v>Empty Row</v>
      </c>
      <c r="I391" s="2" t="str">
        <f>IF(D391="Empty Row", "Empty Row", IF(_xlfn.XLOOKUP(B391, MasterTable[IRA Custodian], MasterTable[Address], "")="", "NO STREET NAME FOUND", _xlfn.XLOOKUP(B391, MasterTable[IRA Custodian], MasterTable[Address], "")))</f>
        <v>Empty Row</v>
      </c>
      <c r="J391" s="2" t="str">
        <f>IF(D391="Empty Row", "Empty Row",
   IF(OR(
       _xlfn.XLOOKUP(B391, MasterTable[IRA Custodian], MasterTable[City], "")="",
       _xlfn.XLOOKUP(B391, MasterTable[IRA Custodian], MasterTable[State], "")="",
       _xlfn.XLOOKUP(B391, MasterTable[IRA Custodian], MasterTable[Zip], "")=""),
       "INCOMPLETE ADDRESS",
       _xlfn.CONCAT(
           _xlfn.XLOOKUP(B391, MasterTable[IRA Custodian], MasterTable[City], ""), ", ",
           _xlfn.XLOOKUP(B391, MasterTable[IRA Custodian], MasterTable[State], ""), " ",
           _xlfn.XLOOKUP(B391, MasterTable[IRA Custodian], MasterTable[Zip], "")
       )
   )
)</f>
        <v>Empty Row</v>
      </c>
    </row>
    <row r="392" spans="1:10" x14ac:dyDescent="0.25">
      <c r="A392" t="str">
        <f>IF(D392="Empty Row", "Empty Row",
   _xlfn.LET(
       _xlpm.lookupResult, _xlfn.XLOOKUP(D392, RawDataTable[Account Name and Number], RawDataTable[Entity], "RAW DATA MISSING"),
       IF(ISBLANK(_xlpm.lookupResult), "RAW DATA MISSING", _xlpm.lookupResult)
   )
)</f>
        <v>Empty Row</v>
      </c>
      <c r="B392" t="str">
        <f>IF(D392="Empty Row", "Empty Row",
   _xlfn.LET(
       _xlpm.rawDataLookup, _xlfn.XLOOKUP(D392,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92" s="56" t="str" cm="1">
        <f t="array" ref="C392">IF(D392="Empty Row", "Empty Row",
   IF(COUNTIF('Name Mapping'!H:AD, D392) &gt; 0,
      INDEX('Name Mapping'!F:F, MATCH(TRUE, MMULT(--('Name Mapping'!H:AD=D392), TRANSPOSE(COLUMN('Name Mapping'!H:AD)^0)) &gt; 0, 0)),
      "")
)</f>
        <v>Empty Row</v>
      </c>
      <c r="D392" t="str">
        <f>IF(RawDataTable[[#This Row],[Account Name and Number]]&lt;&gt;"", RawDataTable[[#This Row],[Account Name and Number]], "Empty Row")</f>
        <v>Empty Row</v>
      </c>
      <c r="E392" s="28" t="str">
        <f>IF(D392="Empty Row", "Empty Row",
   _xlfn.LET(
       _xlpm.lookupResult, _xlfn.XLOOKUP(D392, RawDataTable[Account Name and Number], RawDataTable[Investment Date], "MISSING VALUE"),
       IF(ISNUMBER(_xlpm.lookupResult), _xlpm.lookupResult, "INVALID VALUE")
   )
)</f>
        <v>Empty Row</v>
      </c>
      <c r="F392" s="29" t="str">
        <f>IF(D392="Empty Row", "Empty Row",
   _xlfn.LET(
       _xlpm.lookupResult, _xlfn.XLOOKUP(D392, RawDataTable[Account Name and Number], RawDataTable[Investment Amount], "MISSING VALUE"),
       IF(ISNUMBER(_xlpm.lookupResult), _xlpm.lookupResult, "INVALID VALUE")
   )
)</f>
        <v>Empty Row</v>
      </c>
      <c r="G392" s="28" t="str">
        <f t="shared" ca="1" si="6"/>
        <v>Empty Row</v>
      </c>
      <c r="H392" s="29" t="str">
        <f>IF(D392="Empty Row", "Empty Row",
   _xlfn.LET(
       _xlpm.lookupResult, _xlfn.XLOOKUP(D392, RawDataTable[Account Name and Number], RawDataTable[Valuation Amount], "MISSING VALUE"),
       IF(ISNUMBER(_xlpm.lookupResult), _xlpm.lookupResult, "INVALID VALUE")
   )
)</f>
        <v>Empty Row</v>
      </c>
      <c r="I392" s="2" t="str">
        <f>IF(D392="Empty Row", "Empty Row", IF(_xlfn.XLOOKUP(B392, MasterTable[IRA Custodian], MasterTable[Address], "")="", "NO STREET NAME FOUND", _xlfn.XLOOKUP(B392, MasterTable[IRA Custodian], MasterTable[Address], "")))</f>
        <v>Empty Row</v>
      </c>
      <c r="J392" s="2" t="str">
        <f>IF(D392="Empty Row", "Empty Row",
   IF(OR(
       _xlfn.XLOOKUP(B392, MasterTable[IRA Custodian], MasterTable[City], "")="",
       _xlfn.XLOOKUP(B392, MasterTable[IRA Custodian], MasterTable[State], "")="",
       _xlfn.XLOOKUP(B392, MasterTable[IRA Custodian], MasterTable[Zip], "")=""),
       "INCOMPLETE ADDRESS",
       _xlfn.CONCAT(
           _xlfn.XLOOKUP(B392, MasterTable[IRA Custodian], MasterTable[City], ""), ", ",
           _xlfn.XLOOKUP(B392, MasterTable[IRA Custodian], MasterTable[State], ""), " ",
           _xlfn.XLOOKUP(B392, MasterTable[IRA Custodian], MasterTable[Zip], "")
       )
   )
)</f>
        <v>Empty Row</v>
      </c>
    </row>
    <row r="393" spans="1:10" x14ac:dyDescent="0.25">
      <c r="A393" t="str">
        <f>IF(D393="Empty Row", "Empty Row",
   _xlfn.LET(
       _xlpm.lookupResult, _xlfn.XLOOKUP(D393, RawDataTable[Account Name and Number], RawDataTable[Entity], "RAW DATA MISSING"),
       IF(ISBLANK(_xlpm.lookupResult), "RAW DATA MISSING", _xlpm.lookupResult)
   )
)</f>
        <v>Empty Row</v>
      </c>
      <c r="B393" t="str">
        <f>IF(D393="Empty Row", "Empty Row",
   _xlfn.LET(
       _xlpm.rawDataLookup, _xlfn.XLOOKUP(D393,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93" s="56" t="str" cm="1">
        <f t="array" ref="C393">IF(D393="Empty Row", "Empty Row",
   IF(COUNTIF('Name Mapping'!H:AD, D393) &gt; 0,
      INDEX('Name Mapping'!F:F, MATCH(TRUE, MMULT(--('Name Mapping'!H:AD=D393), TRANSPOSE(COLUMN('Name Mapping'!H:AD)^0)) &gt; 0, 0)),
      "")
)</f>
        <v>Empty Row</v>
      </c>
      <c r="D393" t="str">
        <f>IF(RawDataTable[[#This Row],[Account Name and Number]]&lt;&gt;"", RawDataTable[[#This Row],[Account Name and Number]], "Empty Row")</f>
        <v>Empty Row</v>
      </c>
      <c r="E393" s="28" t="str">
        <f>IF(D393="Empty Row", "Empty Row",
   _xlfn.LET(
       _xlpm.lookupResult, _xlfn.XLOOKUP(D393, RawDataTable[Account Name and Number], RawDataTable[Investment Date], "MISSING VALUE"),
       IF(ISNUMBER(_xlpm.lookupResult), _xlpm.lookupResult, "INVALID VALUE")
   )
)</f>
        <v>Empty Row</v>
      </c>
      <c r="F393" s="29" t="str">
        <f>IF(D393="Empty Row", "Empty Row",
   _xlfn.LET(
       _xlpm.lookupResult, _xlfn.XLOOKUP(D393, RawDataTable[Account Name and Number], RawDataTable[Investment Amount], "MISSING VALUE"),
       IF(ISNUMBER(_xlpm.lookupResult), _xlpm.lookupResult, "INVALID VALUE")
   )
)</f>
        <v>Empty Row</v>
      </c>
      <c r="G393" s="28" t="str">
        <f t="shared" ca="1" si="6"/>
        <v>Empty Row</v>
      </c>
      <c r="H393" s="29" t="str">
        <f>IF(D393="Empty Row", "Empty Row",
   _xlfn.LET(
       _xlpm.lookupResult, _xlfn.XLOOKUP(D393, RawDataTable[Account Name and Number], RawDataTable[Valuation Amount], "MISSING VALUE"),
       IF(ISNUMBER(_xlpm.lookupResult), _xlpm.lookupResult, "INVALID VALUE")
   )
)</f>
        <v>Empty Row</v>
      </c>
      <c r="I393" s="2" t="str">
        <f>IF(D393="Empty Row", "Empty Row", IF(_xlfn.XLOOKUP(B393, MasterTable[IRA Custodian], MasterTable[Address], "")="", "NO STREET NAME FOUND", _xlfn.XLOOKUP(B393, MasterTable[IRA Custodian], MasterTable[Address], "")))</f>
        <v>Empty Row</v>
      </c>
      <c r="J393" s="2" t="str">
        <f>IF(D393="Empty Row", "Empty Row",
   IF(OR(
       _xlfn.XLOOKUP(B393, MasterTable[IRA Custodian], MasterTable[City], "")="",
       _xlfn.XLOOKUP(B393, MasterTable[IRA Custodian], MasterTable[State], "")="",
       _xlfn.XLOOKUP(B393, MasterTable[IRA Custodian], MasterTable[Zip], "")=""),
       "INCOMPLETE ADDRESS",
       _xlfn.CONCAT(
           _xlfn.XLOOKUP(B393, MasterTable[IRA Custodian], MasterTable[City], ""), ", ",
           _xlfn.XLOOKUP(B393, MasterTable[IRA Custodian], MasterTable[State], ""), " ",
           _xlfn.XLOOKUP(B393, MasterTable[IRA Custodian], MasterTable[Zip], "")
       )
   )
)</f>
        <v>Empty Row</v>
      </c>
    </row>
    <row r="394" spans="1:10" x14ac:dyDescent="0.25">
      <c r="A394" t="str">
        <f>IF(D394="Empty Row", "Empty Row",
   _xlfn.LET(
       _xlpm.lookupResult, _xlfn.XLOOKUP(D394, RawDataTable[Account Name and Number], RawDataTable[Entity], "RAW DATA MISSING"),
       IF(ISBLANK(_xlpm.lookupResult), "RAW DATA MISSING", _xlpm.lookupResult)
   )
)</f>
        <v>Empty Row</v>
      </c>
      <c r="B394" t="str">
        <f>IF(D394="Empty Row", "Empty Row",
   _xlfn.LET(
       _xlpm.rawDataLookup, _xlfn.XLOOKUP(D394,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94" s="56" t="str" cm="1">
        <f t="array" ref="C394">IF(D394="Empty Row", "Empty Row",
   IF(COUNTIF('Name Mapping'!H:AD, D394) &gt; 0,
      INDEX('Name Mapping'!F:F, MATCH(TRUE, MMULT(--('Name Mapping'!H:AD=D394), TRANSPOSE(COLUMN('Name Mapping'!H:AD)^0)) &gt; 0, 0)),
      "")
)</f>
        <v>Empty Row</v>
      </c>
      <c r="D394" t="str">
        <f>IF(RawDataTable[[#This Row],[Account Name and Number]]&lt;&gt;"", RawDataTable[[#This Row],[Account Name and Number]], "Empty Row")</f>
        <v>Empty Row</v>
      </c>
      <c r="E394" s="28" t="str">
        <f>IF(D394="Empty Row", "Empty Row",
   _xlfn.LET(
       _xlpm.lookupResult, _xlfn.XLOOKUP(D394, RawDataTable[Account Name and Number], RawDataTable[Investment Date], "MISSING VALUE"),
       IF(ISNUMBER(_xlpm.lookupResult), _xlpm.lookupResult, "INVALID VALUE")
   )
)</f>
        <v>Empty Row</v>
      </c>
      <c r="F394" s="29" t="str">
        <f>IF(D394="Empty Row", "Empty Row",
   _xlfn.LET(
       _xlpm.lookupResult, _xlfn.XLOOKUP(D394, RawDataTable[Account Name and Number], RawDataTable[Investment Amount], "MISSING VALUE"),
       IF(ISNUMBER(_xlpm.lookupResult), _xlpm.lookupResult, "INVALID VALUE")
   )
)</f>
        <v>Empty Row</v>
      </c>
      <c r="G394" s="28" t="str">
        <f t="shared" ca="1" si="6"/>
        <v>Empty Row</v>
      </c>
      <c r="H394" s="29" t="str">
        <f>IF(D394="Empty Row", "Empty Row",
   _xlfn.LET(
       _xlpm.lookupResult, _xlfn.XLOOKUP(D394, RawDataTable[Account Name and Number], RawDataTable[Valuation Amount], "MISSING VALUE"),
       IF(ISNUMBER(_xlpm.lookupResult), _xlpm.lookupResult, "INVALID VALUE")
   )
)</f>
        <v>Empty Row</v>
      </c>
      <c r="I394" s="2" t="str">
        <f>IF(D394="Empty Row", "Empty Row", IF(_xlfn.XLOOKUP(B394, MasterTable[IRA Custodian], MasterTable[Address], "")="", "NO STREET NAME FOUND", _xlfn.XLOOKUP(B394, MasterTable[IRA Custodian], MasterTable[Address], "")))</f>
        <v>Empty Row</v>
      </c>
      <c r="J394" s="2" t="str">
        <f>IF(D394="Empty Row", "Empty Row",
   IF(OR(
       _xlfn.XLOOKUP(B394, MasterTable[IRA Custodian], MasterTable[City], "")="",
       _xlfn.XLOOKUP(B394, MasterTable[IRA Custodian], MasterTable[State], "")="",
       _xlfn.XLOOKUP(B394, MasterTable[IRA Custodian], MasterTable[Zip], "")=""),
       "INCOMPLETE ADDRESS",
       _xlfn.CONCAT(
           _xlfn.XLOOKUP(B394, MasterTable[IRA Custodian], MasterTable[City], ""), ", ",
           _xlfn.XLOOKUP(B394, MasterTable[IRA Custodian], MasterTable[State], ""), " ",
           _xlfn.XLOOKUP(B394, MasterTable[IRA Custodian], MasterTable[Zip], "")
       )
   )
)</f>
        <v>Empty Row</v>
      </c>
    </row>
    <row r="395" spans="1:10" x14ac:dyDescent="0.25">
      <c r="A395" t="str">
        <f>IF(D395="Empty Row", "Empty Row",
   _xlfn.LET(
       _xlpm.lookupResult, _xlfn.XLOOKUP(D395, RawDataTable[Account Name and Number], RawDataTable[Entity], "RAW DATA MISSING"),
       IF(ISBLANK(_xlpm.lookupResult), "RAW DATA MISSING", _xlpm.lookupResult)
   )
)</f>
        <v>Empty Row</v>
      </c>
      <c r="B395" t="str">
        <f>IF(D395="Empty Row", "Empty Row",
   _xlfn.LET(
       _xlpm.rawDataLookup, _xlfn.XLOOKUP(D395,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95" s="56" t="str" cm="1">
        <f t="array" ref="C395">IF(D395="Empty Row", "Empty Row",
   IF(COUNTIF('Name Mapping'!H:AD, D395) &gt; 0,
      INDEX('Name Mapping'!F:F, MATCH(TRUE, MMULT(--('Name Mapping'!H:AD=D395), TRANSPOSE(COLUMN('Name Mapping'!H:AD)^0)) &gt; 0, 0)),
      "")
)</f>
        <v>Empty Row</v>
      </c>
      <c r="D395" t="str">
        <f>IF(RawDataTable[[#This Row],[Account Name and Number]]&lt;&gt;"", RawDataTable[[#This Row],[Account Name and Number]], "Empty Row")</f>
        <v>Empty Row</v>
      </c>
      <c r="E395" s="28" t="str">
        <f>IF(D395="Empty Row", "Empty Row",
   _xlfn.LET(
       _xlpm.lookupResult, _xlfn.XLOOKUP(D395, RawDataTable[Account Name and Number], RawDataTable[Investment Date], "MISSING VALUE"),
       IF(ISNUMBER(_xlpm.lookupResult), _xlpm.lookupResult, "INVALID VALUE")
   )
)</f>
        <v>Empty Row</v>
      </c>
      <c r="F395" s="29" t="str">
        <f>IF(D395="Empty Row", "Empty Row",
   _xlfn.LET(
       _xlpm.lookupResult, _xlfn.XLOOKUP(D395, RawDataTable[Account Name and Number], RawDataTable[Investment Amount], "MISSING VALUE"),
       IF(ISNUMBER(_xlpm.lookupResult), _xlpm.lookupResult, "INVALID VALUE")
   )
)</f>
        <v>Empty Row</v>
      </c>
      <c r="G395" s="28" t="str">
        <f t="shared" ca="1" si="6"/>
        <v>Empty Row</v>
      </c>
      <c r="H395" s="29" t="str">
        <f>IF(D395="Empty Row", "Empty Row",
   _xlfn.LET(
       _xlpm.lookupResult, _xlfn.XLOOKUP(D395, RawDataTable[Account Name and Number], RawDataTable[Valuation Amount], "MISSING VALUE"),
       IF(ISNUMBER(_xlpm.lookupResult), _xlpm.lookupResult, "INVALID VALUE")
   )
)</f>
        <v>Empty Row</v>
      </c>
      <c r="I395" s="2" t="str">
        <f>IF(D395="Empty Row", "Empty Row", IF(_xlfn.XLOOKUP(B395, MasterTable[IRA Custodian], MasterTable[Address], "")="", "NO STREET NAME FOUND", _xlfn.XLOOKUP(B395, MasterTable[IRA Custodian], MasterTable[Address], "")))</f>
        <v>Empty Row</v>
      </c>
      <c r="J395" s="2" t="str">
        <f>IF(D395="Empty Row", "Empty Row",
   IF(OR(
       _xlfn.XLOOKUP(B395, MasterTable[IRA Custodian], MasterTable[City], "")="",
       _xlfn.XLOOKUP(B395, MasterTable[IRA Custodian], MasterTable[State], "")="",
       _xlfn.XLOOKUP(B395, MasterTable[IRA Custodian], MasterTable[Zip], "")=""),
       "INCOMPLETE ADDRESS",
       _xlfn.CONCAT(
           _xlfn.XLOOKUP(B395, MasterTable[IRA Custodian], MasterTable[City], ""), ", ",
           _xlfn.XLOOKUP(B395, MasterTable[IRA Custodian], MasterTable[State], ""), " ",
           _xlfn.XLOOKUP(B395, MasterTable[IRA Custodian], MasterTable[Zip], "")
       )
   )
)</f>
        <v>Empty Row</v>
      </c>
    </row>
    <row r="396" spans="1:10" x14ac:dyDescent="0.25">
      <c r="A396" t="str">
        <f>IF(D396="Empty Row", "Empty Row",
   _xlfn.LET(
       _xlpm.lookupResult, _xlfn.XLOOKUP(D396, RawDataTable[Account Name and Number], RawDataTable[Entity], "RAW DATA MISSING"),
       IF(ISBLANK(_xlpm.lookupResult), "RAW DATA MISSING", _xlpm.lookupResult)
   )
)</f>
        <v>Empty Row</v>
      </c>
      <c r="B396" t="str">
        <f>IF(D396="Empty Row", "Empty Row",
   _xlfn.LET(
       _xlpm.rawDataLookup, _xlfn.XLOOKUP(D396,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96" s="56" t="str" cm="1">
        <f t="array" ref="C396">IF(D396="Empty Row", "Empty Row",
   IF(COUNTIF('Name Mapping'!H:AD, D396) &gt; 0,
      INDEX('Name Mapping'!F:F, MATCH(TRUE, MMULT(--('Name Mapping'!H:AD=D396), TRANSPOSE(COLUMN('Name Mapping'!H:AD)^0)) &gt; 0, 0)),
      "")
)</f>
        <v>Empty Row</v>
      </c>
      <c r="D396" t="str">
        <f>IF(RawDataTable[[#This Row],[Account Name and Number]]&lt;&gt;"", RawDataTable[[#This Row],[Account Name and Number]], "Empty Row")</f>
        <v>Empty Row</v>
      </c>
      <c r="E396" s="28" t="str">
        <f>IF(D396="Empty Row", "Empty Row",
   _xlfn.LET(
       _xlpm.lookupResult, _xlfn.XLOOKUP(D396, RawDataTable[Account Name and Number], RawDataTable[Investment Date], "MISSING VALUE"),
       IF(ISNUMBER(_xlpm.lookupResult), _xlpm.lookupResult, "INVALID VALUE")
   )
)</f>
        <v>Empty Row</v>
      </c>
      <c r="F396" s="29" t="str">
        <f>IF(D396="Empty Row", "Empty Row",
   _xlfn.LET(
       _xlpm.lookupResult, _xlfn.XLOOKUP(D396, RawDataTable[Account Name and Number], RawDataTable[Investment Amount], "MISSING VALUE"),
       IF(ISNUMBER(_xlpm.lookupResult), _xlpm.lookupResult, "INVALID VALUE")
   )
)</f>
        <v>Empty Row</v>
      </c>
      <c r="G396" s="28" t="str">
        <f t="shared" ca="1" si="6"/>
        <v>Empty Row</v>
      </c>
      <c r="H396" s="29" t="str">
        <f>IF(D396="Empty Row", "Empty Row",
   _xlfn.LET(
       _xlpm.lookupResult, _xlfn.XLOOKUP(D396, RawDataTable[Account Name and Number], RawDataTable[Valuation Amount], "MISSING VALUE"),
       IF(ISNUMBER(_xlpm.lookupResult), _xlpm.lookupResult, "INVALID VALUE")
   )
)</f>
        <v>Empty Row</v>
      </c>
      <c r="I396" s="2" t="str">
        <f>IF(D396="Empty Row", "Empty Row", IF(_xlfn.XLOOKUP(B396, MasterTable[IRA Custodian], MasterTable[Address], "")="", "NO STREET NAME FOUND", _xlfn.XLOOKUP(B396, MasterTable[IRA Custodian], MasterTable[Address], "")))</f>
        <v>Empty Row</v>
      </c>
      <c r="J396" s="2" t="str">
        <f>IF(D396="Empty Row", "Empty Row",
   IF(OR(
       _xlfn.XLOOKUP(B396, MasterTable[IRA Custodian], MasterTable[City], "")="",
       _xlfn.XLOOKUP(B396, MasterTable[IRA Custodian], MasterTable[State], "")="",
       _xlfn.XLOOKUP(B396, MasterTable[IRA Custodian], MasterTable[Zip], "")=""),
       "INCOMPLETE ADDRESS",
       _xlfn.CONCAT(
           _xlfn.XLOOKUP(B396, MasterTable[IRA Custodian], MasterTable[City], ""), ", ",
           _xlfn.XLOOKUP(B396, MasterTable[IRA Custodian], MasterTable[State], ""), " ",
           _xlfn.XLOOKUP(B396, MasterTable[IRA Custodian], MasterTable[Zip], "")
       )
   )
)</f>
        <v>Empty Row</v>
      </c>
    </row>
    <row r="397" spans="1:10" x14ac:dyDescent="0.25">
      <c r="A397" t="str">
        <f>IF(D397="Empty Row", "Empty Row",
   _xlfn.LET(
       _xlpm.lookupResult, _xlfn.XLOOKUP(D397, RawDataTable[Account Name and Number], RawDataTable[Entity], "RAW DATA MISSING"),
       IF(ISBLANK(_xlpm.lookupResult), "RAW DATA MISSING", _xlpm.lookupResult)
   )
)</f>
        <v>Empty Row</v>
      </c>
      <c r="B397" t="str">
        <f>IF(D397="Empty Row", "Empty Row",
   _xlfn.LET(
       _xlpm.rawDataLookup, _xlfn.XLOOKUP(D397,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97" s="56" t="str" cm="1">
        <f t="array" ref="C397">IF(D397="Empty Row", "Empty Row",
   IF(COUNTIF('Name Mapping'!H:AD, D397) &gt; 0,
      INDEX('Name Mapping'!F:F, MATCH(TRUE, MMULT(--('Name Mapping'!H:AD=D397), TRANSPOSE(COLUMN('Name Mapping'!H:AD)^0)) &gt; 0, 0)),
      "")
)</f>
        <v>Empty Row</v>
      </c>
      <c r="D397" t="str">
        <f>IF(RawDataTable[[#This Row],[Account Name and Number]]&lt;&gt;"", RawDataTable[[#This Row],[Account Name and Number]], "Empty Row")</f>
        <v>Empty Row</v>
      </c>
      <c r="E397" s="28" t="str">
        <f>IF(D397="Empty Row", "Empty Row",
   _xlfn.LET(
       _xlpm.lookupResult, _xlfn.XLOOKUP(D397, RawDataTable[Account Name and Number], RawDataTable[Investment Date], "MISSING VALUE"),
       IF(ISNUMBER(_xlpm.lookupResult), _xlpm.lookupResult, "INVALID VALUE")
   )
)</f>
        <v>Empty Row</v>
      </c>
      <c r="F397" s="29" t="str">
        <f>IF(D397="Empty Row", "Empty Row",
   _xlfn.LET(
       _xlpm.lookupResult, _xlfn.XLOOKUP(D397, RawDataTable[Account Name and Number], RawDataTable[Investment Amount], "MISSING VALUE"),
       IF(ISNUMBER(_xlpm.lookupResult), _xlpm.lookupResult, "INVALID VALUE")
   )
)</f>
        <v>Empty Row</v>
      </c>
      <c r="G397" s="28" t="str">
        <f t="shared" ca="1" si="6"/>
        <v>Empty Row</v>
      </c>
      <c r="H397" s="29" t="str">
        <f>IF(D397="Empty Row", "Empty Row",
   _xlfn.LET(
       _xlpm.lookupResult, _xlfn.XLOOKUP(D397, RawDataTable[Account Name and Number], RawDataTable[Valuation Amount], "MISSING VALUE"),
       IF(ISNUMBER(_xlpm.lookupResult), _xlpm.lookupResult, "INVALID VALUE")
   )
)</f>
        <v>Empty Row</v>
      </c>
      <c r="I397" s="2" t="str">
        <f>IF(D397="Empty Row", "Empty Row", IF(_xlfn.XLOOKUP(B397, MasterTable[IRA Custodian], MasterTable[Address], "")="", "NO STREET NAME FOUND", _xlfn.XLOOKUP(B397, MasterTable[IRA Custodian], MasterTable[Address], "")))</f>
        <v>Empty Row</v>
      </c>
      <c r="J397" s="2" t="str">
        <f>IF(D397="Empty Row", "Empty Row",
   IF(OR(
       _xlfn.XLOOKUP(B397, MasterTable[IRA Custodian], MasterTable[City], "")="",
       _xlfn.XLOOKUP(B397, MasterTable[IRA Custodian], MasterTable[State], "")="",
       _xlfn.XLOOKUP(B397, MasterTable[IRA Custodian], MasterTable[Zip], "")=""),
       "INCOMPLETE ADDRESS",
       _xlfn.CONCAT(
           _xlfn.XLOOKUP(B397, MasterTable[IRA Custodian], MasterTable[City], ""), ", ",
           _xlfn.XLOOKUP(B397, MasterTable[IRA Custodian], MasterTable[State], ""), " ",
           _xlfn.XLOOKUP(B397, MasterTable[IRA Custodian], MasterTable[Zip], "")
       )
   )
)</f>
        <v>Empty Row</v>
      </c>
    </row>
    <row r="398" spans="1:10" x14ac:dyDescent="0.25">
      <c r="A398" t="str">
        <f>IF(D398="Empty Row", "Empty Row",
   _xlfn.LET(
       _xlpm.lookupResult, _xlfn.XLOOKUP(D398, RawDataTable[Account Name and Number], RawDataTable[Entity], "RAW DATA MISSING"),
       IF(ISBLANK(_xlpm.lookupResult), "RAW DATA MISSING", _xlpm.lookupResult)
   )
)</f>
        <v>Empty Row</v>
      </c>
      <c r="B398" t="str">
        <f>IF(D398="Empty Row", "Empty Row",
   _xlfn.LET(
       _xlpm.rawDataLookup, _xlfn.XLOOKUP(D398,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98" s="56" t="str" cm="1">
        <f t="array" ref="C398">IF(D398="Empty Row", "Empty Row",
   IF(COUNTIF('Name Mapping'!H:AD, D398) &gt; 0,
      INDEX('Name Mapping'!F:F, MATCH(TRUE, MMULT(--('Name Mapping'!H:AD=D398), TRANSPOSE(COLUMN('Name Mapping'!H:AD)^0)) &gt; 0, 0)),
      "")
)</f>
        <v>Empty Row</v>
      </c>
      <c r="D398" t="str">
        <f>IF(RawDataTable[[#This Row],[Account Name and Number]]&lt;&gt;"", RawDataTable[[#This Row],[Account Name and Number]], "Empty Row")</f>
        <v>Empty Row</v>
      </c>
      <c r="E398" s="28" t="str">
        <f>IF(D398="Empty Row", "Empty Row",
   _xlfn.LET(
       _xlpm.lookupResult, _xlfn.XLOOKUP(D398, RawDataTable[Account Name and Number], RawDataTable[Investment Date], "MISSING VALUE"),
       IF(ISNUMBER(_xlpm.lookupResult), _xlpm.lookupResult, "INVALID VALUE")
   )
)</f>
        <v>Empty Row</v>
      </c>
      <c r="F398" s="29" t="str">
        <f>IF(D398="Empty Row", "Empty Row",
   _xlfn.LET(
       _xlpm.lookupResult, _xlfn.XLOOKUP(D398, RawDataTable[Account Name and Number], RawDataTable[Investment Amount], "MISSING VALUE"),
       IF(ISNUMBER(_xlpm.lookupResult), _xlpm.lookupResult, "INVALID VALUE")
   )
)</f>
        <v>Empty Row</v>
      </c>
      <c r="G398" s="28" t="str">
        <f t="shared" ca="1" si="6"/>
        <v>Empty Row</v>
      </c>
      <c r="H398" s="29" t="str">
        <f>IF(D398="Empty Row", "Empty Row",
   _xlfn.LET(
       _xlpm.lookupResult, _xlfn.XLOOKUP(D398, RawDataTable[Account Name and Number], RawDataTable[Valuation Amount], "MISSING VALUE"),
       IF(ISNUMBER(_xlpm.lookupResult), _xlpm.lookupResult, "INVALID VALUE")
   )
)</f>
        <v>Empty Row</v>
      </c>
      <c r="I398" s="2" t="str">
        <f>IF(D398="Empty Row", "Empty Row", IF(_xlfn.XLOOKUP(B398, MasterTable[IRA Custodian], MasterTable[Address], "")="", "NO STREET NAME FOUND", _xlfn.XLOOKUP(B398, MasterTable[IRA Custodian], MasterTable[Address], "")))</f>
        <v>Empty Row</v>
      </c>
      <c r="J398" s="2" t="str">
        <f>IF(D398="Empty Row", "Empty Row",
   IF(OR(
       _xlfn.XLOOKUP(B398, MasterTable[IRA Custodian], MasterTable[City], "")="",
       _xlfn.XLOOKUP(B398, MasterTable[IRA Custodian], MasterTable[State], "")="",
       _xlfn.XLOOKUP(B398, MasterTable[IRA Custodian], MasterTable[Zip], "")=""),
       "INCOMPLETE ADDRESS",
       _xlfn.CONCAT(
           _xlfn.XLOOKUP(B398, MasterTable[IRA Custodian], MasterTable[City], ""), ", ",
           _xlfn.XLOOKUP(B398, MasterTable[IRA Custodian], MasterTable[State], ""), " ",
           _xlfn.XLOOKUP(B398, MasterTable[IRA Custodian], MasterTable[Zip], "")
       )
   )
)</f>
        <v>Empty Row</v>
      </c>
    </row>
    <row r="399" spans="1:10" x14ac:dyDescent="0.25">
      <c r="A399" t="str">
        <f>IF(D399="Empty Row", "Empty Row",
   _xlfn.LET(
       _xlpm.lookupResult, _xlfn.XLOOKUP(D399, RawDataTable[Account Name and Number], RawDataTable[Entity], "RAW DATA MISSING"),
       IF(ISBLANK(_xlpm.lookupResult), "RAW DATA MISSING", _xlpm.lookupResult)
   )
)</f>
        <v>Empty Row</v>
      </c>
      <c r="B399" t="str">
        <f>IF(D399="Empty Row", "Empty Row",
   _xlfn.LET(
       _xlpm.rawDataLookup, _xlfn.XLOOKUP(D399,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399" s="56" t="str" cm="1">
        <f t="array" ref="C399">IF(D399="Empty Row", "Empty Row",
   IF(COUNTIF('Name Mapping'!H:AD, D399) &gt; 0,
      INDEX('Name Mapping'!F:F, MATCH(TRUE, MMULT(--('Name Mapping'!H:AD=D399), TRANSPOSE(COLUMN('Name Mapping'!H:AD)^0)) &gt; 0, 0)),
      "")
)</f>
        <v>Empty Row</v>
      </c>
      <c r="D399" t="str">
        <f>IF(RawDataTable[[#This Row],[Account Name and Number]]&lt;&gt;"", RawDataTable[[#This Row],[Account Name and Number]], "Empty Row")</f>
        <v>Empty Row</v>
      </c>
      <c r="E399" s="28" t="str">
        <f>IF(D399="Empty Row", "Empty Row",
   _xlfn.LET(
       _xlpm.lookupResult, _xlfn.XLOOKUP(D399, RawDataTable[Account Name and Number], RawDataTable[Investment Date], "MISSING VALUE"),
       IF(ISNUMBER(_xlpm.lookupResult), _xlpm.lookupResult, "INVALID VALUE")
   )
)</f>
        <v>Empty Row</v>
      </c>
      <c r="F399" s="29" t="str">
        <f>IF(D399="Empty Row", "Empty Row",
   _xlfn.LET(
       _xlpm.lookupResult, _xlfn.XLOOKUP(D399, RawDataTable[Account Name and Number], RawDataTable[Investment Amount], "MISSING VALUE"),
       IF(ISNUMBER(_xlpm.lookupResult), _xlpm.lookupResult, "INVALID VALUE")
   )
)</f>
        <v>Empty Row</v>
      </c>
      <c r="G399" s="28" t="str">
        <f t="shared" ca="1" si="6"/>
        <v>Empty Row</v>
      </c>
      <c r="H399" s="29" t="str">
        <f>IF(D399="Empty Row", "Empty Row",
   _xlfn.LET(
       _xlpm.lookupResult, _xlfn.XLOOKUP(D399, RawDataTable[Account Name and Number], RawDataTable[Valuation Amount], "MISSING VALUE"),
       IF(ISNUMBER(_xlpm.lookupResult), _xlpm.lookupResult, "INVALID VALUE")
   )
)</f>
        <v>Empty Row</v>
      </c>
      <c r="I399" s="2" t="str">
        <f>IF(D399="Empty Row", "Empty Row", IF(_xlfn.XLOOKUP(B399, MasterTable[IRA Custodian], MasterTable[Address], "")="", "NO STREET NAME FOUND", _xlfn.XLOOKUP(B399, MasterTable[IRA Custodian], MasterTable[Address], "")))</f>
        <v>Empty Row</v>
      </c>
      <c r="J399" s="2" t="str">
        <f>IF(D399="Empty Row", "Empty Row",
   IF(OR(
       _xlfn.XLOOKUP(B399, MasterTable[IRA Custodian], MasterTable[City], "")="",
       _xlfn.XLOOKUP(B399, MasterTable[IRA Custodian], MasterTable[State], "")="",
       _xlfn.XLOOKUP(B399, MasterTable[IRA Custodian], MasterTable[Zip], "")=""),
       "INCOMPLETE ADDRESS",
       _xlfn.CONCAT(
           _xlfn.XLOOKUP(B399, MasterTable[IRA Custodian], MasterTable[City], ""), ", ",
           _xlfn.XLOOKUP(B399, MasterTable[IRA Custodian], MasterTable[State], ""), " ",
           _xlfn.XLOOKUP(B399, MasterTable[IRA Custodian], MasterTable[Zip], "")
       )
   )
)</f>
        <v>Empty Row</v>
      </c>
    </row>
    <row r="400" spans="1:10" x14ac:dyDescent="0.25">
      <c r="A400" t="str">
        <f>IF(D400="Empty Row", "Empty Row",
   _xlfn.LET(
       _xlpm.lookupResult, _xlfn.XLOOKUP(D400, RawDataTable[Account Name and Number], RawDataTable[Entity], "RAW DATA MISSING"),
       IF(ISBLANK(_xlpm.lookupResult), "RAW DATA MISSING", _xlpm.lookupResult)
   )
)</f>
        <v>Empty Row</v>
      </c>
      <c r="B400" t="str">
        <f>IF(D400="Empty Row", "Empty Row",
   _xlfn.LET(
       _xlpm.rawDataLookup, _xlfn.XLOOKUP(D400,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00" s="56" t="str" cm="1">
        <f t="array" ref="C400">IF(D400="Empty Row", "Empty Row",
   IF(COUNTIF('Name Mapping'!H:AD, D400) &gt; 0,
      INDEX('Name Mapping'!F:F, MATCH(TRUE, MMULT(--('Name Mapping'!H:AD=D400), TRANSPOSE(COLUMN('Name Mapping'!H:AD)^0)) &gt; 0, 0)),
      "")
)</f>
        <v>Empty Row</v>
      </c>
      <c r="D400" t="str">
        <f>IF(RawDataTable[[#This Row],[Account Name and Number]]&lt;&gt;"", RawDataTable[[#This Row],[Account Name and Number]], "Empty Row")</f>
        <v>Empty Row</v>
      </c>
      <c r="E400" s="28" t="str">
        <f>IF(D400="Empty Row", "Empty Row",
   _xlfn.LET(
       _xlpm.lookupResult, _xlfn.XLOOKUP(D400, RawDataTable[Account Name and Number], RawDataTable[Investment Date], "MISSING VALUE"),
       IF(ISNUMBER(_xlpm.lookupResult), _xlpm.lookupResult, "INVALID VALUE")
   )
)</f>
        <v>Empty Row</v>
      </c>
      <c r="F400" s="29" t="str">
        <f>IF(D400="Empty Row", "Empty Row",
   _xlfn.LET(
       _xlpm.lookupResult, _xlfn.XLOOKUP(D400, RawDataTable[Account Name and Number], RawDataTable[Investment Amount], "MISSING VALUE"),
       IF(ISNUMBER(_xlpm.lookupResult), _xlpm.lookupResult, "INVALID VALUE")
   )
)</f>
        <v>Empty Row</v>
      </c>
      <c r="G400" s="28" t="str">
        <f t="shared" ca="1" si="6"/>
        <v>Empty Row</v>
      </c>
      <c r="H400" s="29" t="str">
        <f>IF(D400="Empty Row", "Empty Row",
   _xlfn.LET(
       _xlpm.lookupResult, _xlfn.XLOOKUP(D400, RawDataTable[Account Name and Number], RawDataTable[Valuation Amount], "MISSING VALUE"),
       IF(ISNUMBER(_xlpm.lookupResult), _xlpm.lookupResult, "INVALID VALUE")
   )
)</f>
        <v>Empty Row</v>
      </c>
      <c r="I400" s="2" t="str">
        <f>IF(D400="Empty Row", "Empty Row", IF(_xlfn.XLOOKUP(B400, MasterTable[IRA Custodian], MasterTable[Address], "")="", "NO STREET NAME FOUND", _xlfn.XLOOKUP(B400, MasterTable[IRA Custodian], MasterTable[Address], "")))</f>
        <v>Empty Row</v>
      </c>
      <c r="J400" s="2" t="str">
        <f>IF(D400="Empty Row", "Empty Row",
   IF(OR(
       _xlfn.XLOOKUP(B400, MasterTable[IRA Custodian], MasterTable[City], "")="",
       _xlfn.XLOOKUP(B400, MasterTable[IRA Custodian], MasterTable[State], "")="",
       _xlfn.XLOOKUP(B400, MasterTable[IRA Custodian], MasterTable[Zip], "")=""),
       "INCOMPLETE ADDRESS",
       _xlfn.CONCAT(
           _xlfn.XLOOKUP(B400, MasterTable[IRA Custodian], MasterTable[City], ""), ", ",
           _xlfn.XLOOKUP(B400, MasterTable[IRA Custodian], MasterTable[State], ""), " ",
           _xlfn.XLOOKUP(B400, MasterTable[IRA Custodian], MasterTable[Zip], "")
       )
   )
)</f>
        <v>Empty Row</v>
      </c>
    </row>
    <row r="401" spans="1:10" x14ac:dyDescent="0.25">
      <c r="A401" t="str">
        <f>IF(D401="Empty Row", "Empty Row",
   _xlfn.LET(
       _xlpm.lookupResult, _xlfn.XLOOKUP(D401, RawDataTable[Account Name and Number], RawDataTable[Entity], "RAW DATA MISSING"),
       IF(ISBLANK(_xlpm.lookupResult), "RAW DATA MISSING", _xlpm.lookupResult)
   )
)</f>
        <v>Empty Row</v>
      </c>
      <c r="B401" t="str">
        <f>IF(D401="Empty Row", "Empty Row",
   _xlfn.LET(
       _xlpm.rawDataLookup, _xlfn.XLOOKUP(D401,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01" s="56" t="str" cm="1">
        <f t="array" ref="C401">IF(D401="Empty Row", "Empty Row",
   IF(COUNTIF('Name Mapping'!H:AD, D401) &gt; 0,
      INDEX('Name Mapping'!F:F, MATCH(TRUE, MMULT(--('Name Mapping'!H:AD=D401), TRANSPOSE(COLUMN('Name Mapping'!H:AD)^0)) &gt; 0, 0)),
      "")
)</f>
        <v>Empty Row</v>
      </c>
      <c r="D401" t="str">
        <f>IF(RawDataTable[[#This Row],[Account Name and Number]]&lt;&gt;"", RawDataTable[[#This Row],[Account Name and Number]], "Empty Row")</f>
        <v>Empty Row</v>
      </c>
      <c r="E401" s="28" t="str">
        <f>IF(D401="Empty Row", "Empty Row",
   _xlfn.LET(
       _xlpm.lookupResult, _xlfn.XLOOKUP(D401, RawDataTable[Account Name and Number], RawDataTable[Investment Date], "MISSING VALUE"),
       IF(ISNUMBER(_xlpm.lookupResult), _xlpm.lookupResult, "INVALID VALUE")
   )
)</f>
        <v>Empty Row</v>
      </c>
      <c r="F401" s="29" t="str">
        <f>IF(D401="Empty Row", "Empty Row",
   _xlfn.LET(
       _xlpm.lookupResult, _xlfn.XLOOKUP(D401, RawDataTable[Account Name and Number], RawDataTable[Investment Amount], "MISSING VALUE"),
       IF(ISNUMBER(_xlpm.lookupResult), _xlpm.lookupResult, "INVALID VALUE")
   )
)</f>
        <v>Empty Row</v>
      </c>
      <c r="G401" s="28" t="str">
        <f t="shared" ca="1" si="6"/>
        <v>Empty Row</v>
      </c>
      <c r="H401" s="29" t="str">
        <f>IF(D401="Empty Row", "Empty Row",
   _xlfn.LET(
       _xlpm.lookupResult, _xlfn.XLOOKUP(D401, RawDataTable[Account Name and Number], RawDataTable[Valuation Amount], "MISSING VALUE"),
       IF(ISNUMBER(_xlpm.lookupResult), _xlpm.lookupResult, "INVALID VALUE")
   )
)</f>
        <v>Empty Row</v>
      </c>
      <c r="I401" s="2" t="str">
        <f>IF(D401="Empty Row", "Empty Row", IF(_xlfn.XLOOKUP(B401, MasterTable[IRA Custodian], MasterTable[Address], "")="", "NO STREET NAME FOUND", _xlfn.XLOOKUP(B401, MasterTable[IRA Custodian], MasterTable[Address], "")))</f>
        <v>Empty Row</v>
      </c>
      <c r="J401" s="2" t="str">
        <f>IF(D401="Empty Row", "Empty Row",
   IF(OR(
       _xlfn.XLOOKUP(B401, MasterTable[IRA Custodian], MasterTable[City], "")="",
       _xlfn.XLOOKUP(B401, MasterTable[IRA Custodian], MasterTable[State], "")="",
       _xlfn.XLOOKUP(B401, MasterTable[IRA Custodian], MasterTable[Zip], "")=""),
       "INCOMPLETE ADDRESS",
       _xlfn.CONCAT(
           _xlfn.XLOOKUP(B401, MasterTable[IRA Custodian], MasterTable[City], ""), ", ",
           _xlfn.XLOOKUP(B401, MasterTable[IRA Custodian], MasterTable[State], ""), " ",
           _xlfn.XLOOKUP(B401, MasterTable[IRA Custodian], MasterTable[Zip], "")
       )
   )
)</f>
        <v>Empty Row</v>
      </c>
    </row>
    <row r="402" spans="1:10" x14ac:dyDescent="0.25">
      <c r="A402" t="str">
        <f>IF(D402="Empty Row", "Empty Row",
   _xlfn.LET(
       _xlpm.lookupResult, _xlfn.XLOOKUP(D402, RawDataTable[Account Name and Number], RawDataTable[Entity], "RAW DATA MISSING"),
       IF(ISBLANK(_xlpm.lookupResult), "RAW DATA MISSING", _xlpm.lookupResult)
   )
)</f>
        <v>Empty Row</v>
      </c>
      <c r="B402" t="str">
        <f>IF(D402="Empty Row", "Empty Row",
   _xlfn.LET(
       _xlpm.rawDataLookup, _xlfn.XLOOKUP(D402,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02" s="56" t="str" cm="1">
        <f t="array" ref="C402">IF(D402="Empty Row", "Empty Row",
   IF(COUNTIF('Name Mapping'!H:AD, D402) &gt; 0,
      INDEX('Name Mapping'!F:F, MATCH(TRUE, MMULT(--('Name Mapping'!H:AD=D402), TRANSPOSE(COLUMN('Name Mapping'!H:AD)^0)) &gt; 0, 0)),
      "")
)</f>
        <v>Empty Row</v>
      </c>
      <c r="D402" t="str">
        <f>IF(RawDataTable[[#This Row],[Account Name and Number]]&lt;&gt;"", RawDataTable[[#This Row],[Account Name and Number]], "Empty Row")</f>
        <v>Empty Row</v>
      </c>
      <c r="E402" s="28" t="str">
        <f>IF(D402="Empty Row", "Empty Row",
   _xlfn.LET(
       _xlpm.lookupResult, _xlfn.XLOOKUP(D402, RawDataTable[Account Name and Number], RawDataTable[Investment Date], "MISSING VALUE"),
       IF(ISNUMBER(_xlpm.lookupResult), _xlpm.lookupResult, "INVALID VALUE")
   )
)</f>
        <v>Empty Row</v>
      </c>
      <c r="F402" s="29" t="str">
        <f>IF(D402="Empty Row", "Empty Row",
   _xlfn.LET(
       _xlpm.lookupResult, _xlfn.XLOOKUP(D402, RawDataTable[Account Name and Number], RawDataTable[Investment Amount], "MISSING VALUE"),
       IF(ISNUMBER(_xlpm.lookupResult), _xlpm.lookupResult, "INVALID VALUE")
   )
)</f>
        <v>Empty Row</v>
      </c>
      <c r="G402" s="28" t="str">
        <f t="shared" ca="1" si="6"/>
        <v>Empty Row</v>
      </c>
      <c r="H402" s="29" t="str">
        <f>IF(D402="Empty Row", "Empty Row",
   _xlfn.LET(
       _xlpm.lookupResult, _xlfn.XLOOKUP(D402, RawDataTable[Account Name and Number], RawDataTable[Valuation Amount], "MISSING VALUE"),
       IF(ISNUMBER(_xlpm.lookupResult), _xlpm.lookupResult, "INVALID VALUE")
   )
)</f>
        <v>Empty Row</v>
      </c>
      <c r="I402" s="2" t="str">
        <f>IF(D402="Empty Row", "Empty Row", IF(_xlfn.XLOOKUP(B402, MasterTable[IRA Custodian], MasterTable[Address], "")="", "NO STREET NAME FOUND", _xlfn.XLOOKUP(B402, MasterTable[IRA Custodian], MasterTable[Address], "")))</f>
        <v>Empty Row</v>
      </c>
      <c r="J402" s="2" t="str">
        <f>IF(D402="Empty Row", "Empty Row",
   IF(OR(
       _xlfn.XLOOKUP(B402, MasterTable[IRA Custodian], MasterTable[City], "")="",
       _xlfn.XLOOKUP(B402, MasterTable[IRA Custodian], MasterTable[State], "")="",
       _xlfn.XLOOKUP(B402, MasterTable[IRA Custodian], MasterTable[Zip], "")=""),
       "INCOMPLETE ADDRESS",
       _xlfn.CONCAT(
           _xlfn.XLOOKUP(B402, MasterTable[IRA Custodian], MasterTable[City], ""), ", ",
           _xlfn.XLOOKUP(B402, MasterTable[IRA Custodian], MasterTable[State], ""), " ",
           _xlfn.XLOOKUP(B402, MasterTable[IRA Custodian], MasterTable[Zip], "")
       )
   )
)</f>
        <v>Empty Row</v>
      </c>
    </row>
    <row r="403" spans="1:10" x14ac:dyDescent="0.25">
      <c r="A403" t="str">
        <f>IF(D403="Empty Row", "Empty Row",
   _xlfn.LET(
       _xlpm.lookupResult, _xlfn.XLOOKUP(D403, RawDataTable[Account Name and Number], RawDataTable[Entity], "RAW DATA MISSING"),
       IF(ISBLANK(_xlpm.lookupResult), "RAW DATA MISSING", _xlpm.lookupResult)
   )
)</f>
        <v>Empty Row</v>
      </c>
      <c r="B403" t="str">
        <f>IF(D403="Empty Row", "Empty Row",
   _xlfn.LET(
       _xlpm.rawDataLookup, _xlfn.XLOOKUP(D403,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03" s="56" t="str" cm="1">
        <f t="array" ref="C403">IF(D403="Empty Row", "Empty Row",
   IF(COUNTIF('Name Mapping'!H:AD, D403) &gt; 0,
      INDEX('Name Mapping'!F:F, MATCH(TRUE, MMULT(--('Name Mapping'!H:AD=D403), TRANSPOSE(COLUMN('Name Mapping'!H:AD)^0)) &gt; 0, 0)),
      "")
)</f>
        <v>Empty Row</v>
      </c>
      <c r="D403" t="str">
        <f>IF(RawDataTable[[#This Row],[Account Name and Number]]&lt;&gt;"", RawDataTable[[#This Row],[Account Name and Number]], "Empty Row")</f>
        <v>Empty Row</v>
      </c>
      <c r="E403" s="28" t="str">
        <f>IF(D403="Empty Row", "Empty Row",
   _xlfn.LET(
       _xlpm.lookupResult, _xlfn.XLOOKUP(D403, RawDataTable[Account Name and Number], RawDataTable[Investment Date], "MISSING VALUE"),
       IF(ISNUMBER(_xlpm.lookupResult), _xlpm.lookupResult, "INVALID VALUE")
   )
)</f>
        <v>Empty Row</v>
      </c>
      <c r="F403" s="29" t="str">
        <f>IF(D403="Empty Row", "Empty Row",
   _xlfn.LET(
       _xlpm.lookupResult, _xlfn.XLOOKUP(D403, RawDataTable[Account Name and Number], RawDataTable[Investment Amount], "MISSING VALUE"),
       IF(ISNUMBER(_xlpm.lookupResult), _xlpm.lookupResult, "INVALID VALUE")
   )
)</f>
        <v>Empty Row</v>
      </c>
      <c r="G403" s="28" t="str">
        <f t="shared" ca="1" si="6"/>
        <v>Empty Row</v>
      </c>
      <c r="H403" s="29" t="str">
        <f>IF(D403="Empty Row", "Empty Row",
   _xlfn.LET(
       _xlpm.lookupResult, _xlfn.XLOOKUP(D403, RawDataTable[Account Name and Number], RawDataTable[Valuation Amount], "MISSING VALUE"),
       IF(ISNUMBER(_xlpm.lookupResult), _xlpm.lookupResult, "INVALID VALUE")
   )
)</f>
        <v>Empty Row</v>
      </c>
      <c r="I403" s="2" t="str">
        <f>IF(D403="Empty Row", "Empty Row", IF(_xlfn.XLOOKUP(B403, MasterTable[IRA Custodian], MasterTable[Address], "")="", "NO STREET NAME FOUND", _xlfn.XLOOKUP(B403, MasterTable[IRA Custodian], MasterTable[Address], "")))</f>
        <v>Empty Row</v>
      </c>
      <c r="J403" s="2" t="str">
        <f>IF(D403="Empty Row", "Empty Row",
   IF(OR(
       _xlfn.XLOOKUP(B403, MasterTable[IRA Custodian], MasterTable[City], "")="",
       _xlfn.XLOOKUP(B403, MasterTable[IRA Custodian], MasterTable[State], "")="",
       _xlfn.XLOOKUP(B403, MasterTable[IRA Custodian], MasterTable[Zip], "")=""),
       "INCOMPLETE ADDRESS",
       _xlfn.CONCAT(
           _xlfn.XLOOKUP(B403, MasterTable[IRA Custodian], MasterTable[City], ""), ", ",
           _xlfn.XLOOKUP(B403, MasterTable[IRA Custodian], MasterTable[State], ""), " ",
           _xlfn.XLOOKUP(B403, MasterTable[IRA Custodian], MasterTable[Zip], "")
       )
   )
)</f>
        <v>Empty Row</v>
      </c>
    </row>
    <row r="404" spans="1:10" x14ac:dyDescent="0.25">
      <c r="A404" t="str">
        <f>IF(D404="Empty Row", "Empty Row",
   _xlfn.LET(
       _xlpm.lookupResult, _xlfn.XLOOKUP(D404, RawDataTable[Account Name and Number], RawDataTable[Entity], "RAW DATA MISSING"),
       IF(ISBLANK(_xlpm.lookupResult), "RAW DATA MISSING", _xlpm.lookupResult)
   )
)</f>
        <v>Empty Row</v>
      </c>
      <c r="B404" t="str">
        <f>IF(D404="Empty Row", "Empty Row",
   _xlfn.LET(
       _xlpm.rawDataLookup, _xlfn.XLOOKUP(D404,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04" s="56" t="str" cm="1">
        <f t="array" ref="C404">IF(D404="Empty Row", "Empty Row",
   IF(COUNTIF('Name Mapping'!H:AD, D404) &gt; 0,
      INDEX('Name Mapping'!F:F, MATCH(TRUE, MMULT(--('Name Mapping'!H:AD=D404), TRANSPOSE(COLUMN('Name Mapping'!H:AD)^0)) &gt; 0, 0)),
      "")
)</f>
        <v>Empty Row</v>
      </c>
      <c r="D404" t="str">
        <f>IF(RawDataTable[[#This Row],[Account Name and Number]]&lt;&gt;"", RawDataTable[[#This Row],[Account Name and Number]], "Empty Row")</f>
        <v>Empty Row</v>
      </c>
      <c r="E404" s="28" t="str">
        <f>IF(D404="Empty Row", "Empty Row",
   _xlfn.LET(
       _xlpm.lookupResult, _xlfn.XLOOKUP(D404, RawDataTable[Account Name and Number], RawDataTable[Investment Date], "MISSING VALUE"),
       IF(ISNUMBER(_xlpm.lookupResult), _xlpm.lookupResult, "INVALID VALUE")
   )
)</f>
        <v>Empty Row</v>
      </c>
      <c r="F404" s="29" t="str">
        <f>IF(D404="Empty Row", "Empty Row",
   _xlfn.LET(
       _xlpm.lookupResult, _xlfn.XLOOKUP(D404, RawDataTable[Account Name and Number], RawDataTable[Investment Amount], "MISSING VALUE"),
       IF(ISNUMBER(_xlpm.lookupResult), _xlpm.lookupResult, "INVALID VALUE")
   )
)</f>
        <v>Empty Row</v>
      </c>
      <c r="G404" s="28" t="str">
        <f t="shared" ca="1" si="6"/>
        <v>Empty Row</v>
      </c>
      <c r="H404" s="29" t="str">
        <f>IF(D404="Empty Row", "Empty Row",
   _xlfn.LET(
       _xlpm.lookupResult, _xlfn.XLOOKUP(D404, RawDataTable[Account Name and Number], RawDataTable[Valuation Amount], "MISSING VALUE"),
       IF(ISNUMBER(_xlpm.lookupResult), _xlpm.lookupResult, "INVALID VALUE")
   )
)</f>
        <v>Empty Row</v>
      </c>
      <c r="I404" s="2" t="str">
        <f>IF(D404="Empty Row", "Empty Row", IF(_xlfn.XLOOKUP(B404, MasterTable[IRA Custodian], MasterTable[Address], "")="", "NO STREET NAME FOUND", _xlfn.XLOOKUP(B404, MasterTable[IRA Custodian], MasterTable[Address], "")))</f>
        <v>Empty Row</v>
      </c>
      <c r="J404" s="2" t="str">
        <f>IF(D404="Empty Row", "Empty Row",
   IF(OR(
       _xlfn.XLOOKUP(B404, MasterTable[IRA Custodian], MasterTable[City], "")="",
       _xlfn.XLOOKUP(B404, MasterTable[IRA Custodian], MasterTable[State], "")="",
       _xlfn.XLOOKUP(B404, MasterTable[IRA Custodian], MasterTable[Zip], "")=""),
       "INCOMPLETE ADDRESS",
       _xlfn.CONCAT(
           _xlfn.XLOOKUP(B404, MasterTable[IRA Custodian], MasterTable[City], ""), ", ",
           _xlfn.XLOOKUP(B404, MasterTable[IRA Custodian], MasterTable[State], ""), " ",
           _xlfn.XLOOKUP(B404, MasterTable[IRA Custodian], MasterTable[Zip], "")
       )
   )
)</f>
        <v>Empty Row</v>
      </c>
    </row>
    <row r="405" spans="1:10" x14ac:dyDescent="0.25">
      <c r="A405" t="str">
        <f>IF(D405="Empty Row", "Empty Row",
   _xlfn.LET(
       _xlpm.lookupResult, _xlfn.XLOOKUP(D405, RawDataTable[Account Name and Number], RawDataTable[Entity], "RAW DATA MISSING"),
       IF(ISBLANK(_xlpm.lookupResult), "RAW DATA MISSING", _xlpm.lookupResult)
   )
)</f>
        <v>Empty Row</v>
      </c>
      <c r="B405" t="str">
        <f>IF(D405="Empty Row", "Empty Row",
   _xlfn.LET(
       _xlpm.rawDataLookup, _xlfn.XLOOKUP(D405,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05" s="56" t="str" cm="1">
        <f t="array" ref="C405">IF(D405="Empty Row", "Empty Row",
   IF(COUNTIF('Name Mapping'!H:AD, D405) &gt; 0,
      INDEX('Name Mapping'!F:F, MATCH(TRUE, MMULT(--('Name Mapping'!H:AD=D405), TRANSPOSE(COLUMN('Name Mapping'!H:AD)^0)) &gt; 0, 0)),
      "")
)</f>
        <v>Empty Row</v>
      </c>
      <c r="D405" t="str">
        <f>IF(RawDataTable[[#This Row],[Account Name and Number]]&lt;&gt;"", RawDataTable[[#This Row],[Account Name and Number]], "Empty Row")</f>
        <v>Empty Row</v>
      </c>
      <c r="E405" s="28" t="str">
        <f>IF(D405="Empty Row", "Empty Row",
   _xlfn.LET(
       _xlpm.lookupResult, _xlfn.XLOOKUP(D405, RawDataTable[Account Name and Number], RawDataTable[Investment Date], "MISSING VALUE"),
       IF(ISNUMBER(_xlpm.lookupResult), _xlpm.lookupResult, "INVALID VALUE")
   )
)</f>
        <v>Empty Row</v>
      </c>
      <c r="F405" s="29" t="str">
        <f>IF(D405="Empty Row", "Empty Row",
   _xlfn.LET(
       _xlpm.lookupResult, _xlfn.XLOOKUP(D405, RawDataTable[Account Name and Number], RawDataTable[Investment Amount], "MISSING VALUE"),
       IF(ISNUMBER(_xlpm.lookupResult), _xlpm.lookupResult, "INVALID VALUE")
   )
)</f>
        <v>Empty Row</v>
      </c>
      <c r="G405" s="28" t="str">
        <f t="shared" ca="1" si="6"/>
        <v>Empty Row</v>
      </c>
      <c r="H405" s="29" t="str">
        <f>IF(D405="Empty Row", "Empty Row",
   _xlfn.LET(
       _xlpm.lookupResult, _xlfn.XLOOKUP(D405, RawDataTable[Account Name and Number], RawDataTable[Valuation Amount], "MISSING VALUE"),
       IF(ISNUMBER(_xlpm.lookupResult), _xlpm.lookupResult, "INVALID VALUE")
   )
)</f>
        <v>Empty Row</v>
      </c>
      <c r="I405" s="2" t="str">
        <f>IF(D405="Empty Row", "Empty Row", IF(_xlfn.XLOOKUP(B405, MasterTable[IRA Custodian], MasterTable[Address], "")="", "NO STREET NAME FOUND", _xlfn.XLOOKUP(B405, MasterTable[IRA Custodian], MasterTable[Address], "")))</f>
        <v>Empty Row</v>
      </c>
      <c r="J405" s="2" t="str">
        <f>IF(D405="Empty Row", "Empty Row",
   IF(OR(
       _xlfn.XLOOKUP(B405, MasterTable[IRA Custodian], MasterTable[City], "")="",
       _xlfn.XLOOKUP(B405, MasterTable[IRA Custodian], MasterTable[State], "")="",
       _xlfn.XLOOKUP(B405, MasterTable[IRA Custodian], MasterTable[Zip], "")=""),
       "INCOMPLETE ADDRESS",
       _xlfn.CONCAT(
           _xlfn.XLOOKUP(B405, MasterTable[IRA Custodian], MasterTable[City], ""), ", ",
           _xlfn.XLOOKUP(B405, MasterTable[IRA Custodian], MasterTable[State], ""), " ",
           _xlfn.XLOOKUP(B405, MasterTable[IRA Custodian], MasterTable[Zip], "")
       )
   )
)</f>
        <v>Empty Row</v>
      </c>
    </row>
    <row r="406" spans="1:10" x14ac:dyDescent="0.25">
      <c r="A406" t="str">
        <f>IF(D406="Empty Row", "Empty Row",
   _xlfn.LET(
       _xlpm.lookupResult, _xlfn.XLOOKUP(D406, RawDataTable[Account Name and Number], RawDataTable[Entity], "RAW DATA MISSING"),
       IF(ISBLANK(_xlpm.lookupResult), "RAW DATA MISSING", _xlpm.lookupResult)
   )
)</f>
        <v>Empty Row</v>
      </c>
      <c r="B406" t="str">
        <f>IF(D406="Empty Row", "Empty Row",
   _xlfn.LET(
       _xlpm.rawDataLookup, _xlfn.XLOOKUP(D406,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06" s="56" t="str" cm="1">
        <f t="array" ref="C406">IF(D406="Empty Row", "Empty Row",
   IF(COUNTIF('Name Mapping'!H:AD, D406) &gt; 0,
      INDEX('Name Mapping'!F:F, MATCH(TRUE, MMULT(--('Name Mapping'!H:AD=D406), TRANSPOSE(COLUMN('Name Mapping'!H:AD)^0)) &gt; 0, 0)),
      "")
)</f>
        <v>Empty Row</v>
      </c>
      <c r="D406" t="str">
        <f>IF(RawDataTable[[#This Row],[Account Name and Number]]&lt;&gt;"", RawDataTable[[#This Row],[Account Name and Number]], "Empty Row")</f>
        <v>Empty Row</v>
      </c>
      <c r="E406" s="28" t="str">
        <f>IF(D406="Empty Row", "Empty Row",
   _xlfn.LET(
       _xlpm.lookupResult, _xlfn.XLOOKUP(D406, RawDataTable[Account Name and Number], RawDataTable[Investment Date], "MISSING VALUE"),
       IF(ISNUMBER(_xlpm.lookupResult), _xlpm.lookupResult, "INVALID VALUE")
   )
)</f>
        <v>Empty Row</v>
      </c>
      <c r="F406" s="29" t="str">
        <f>IF(D406="Empty Row", "Empty Row",
   _xlfn.LET(
       _xlpm.lookupResult, _xlfn.XLOOKUP(D406, RawDataTable[Account Name and Number], RawDataTable[Investment Amount], "MISSING VALUE"),
       IF(ISNUMBER(_xlpm.lookupResult), _xlpm.lookupResult, "INVALID VALUE")
   )
)</f>
        <v>Empty Row</v>
      </c>
      <c r="G406" s="28" t="str">
        <f t="shared" ca="1" si="6"/>
        <v>Empty Row</v>
      </c>
      <c r="H406" s="29" t="str">
        <f>IF(D406="Empty Row", "Empty Row",
   _xlfn.LET(
       _xlpm.lookupResult, _xlfn.XLOOKUP(D406, RawDataTable[Account Name and Number], RawDataTable[Valuation Amount], "MISSING VALUE"),
       IF(ISNUMBER(_xlpm.lookupResult), _xlpm.lookupResult, "INVALID VALUE")
   )
)</f>
        <v>Empty Row</v>
      </c>
      <c r="I406" s="2" t="str">
        <f>IF(D406="Empty Row", "Empty Row", IF(_xlfn.XLOOKUP(B406, MasterTable[IRA Custodian], MasterTable[Address], "")="", "NO STREET NAME FOUND", _xlfn.XLOOKUP(B406, MasterTable[IRA Custodian], MasterTable[Address], "")))</f>
        <v>Empty Row</v>
      </c>
      <c r="J406" s="2" t="str">
        <f>IF(D406="Empty Row", "Empty Row",
   IF(OR(
       _xlfn.XLOOKUP(B406, MasterTable[IRA Custodian], MasterTable[City], "")="",
       _xlfn.XLOOKUP(B406, MasterTable[IRA Custodian], MasterTable[State], "")="",
       _xlfn.XLOOKUP(B406, MasterTable[IRA Custodian], MasterTable[Zip], "")=""),
       "INCOMPLETE ADDRESS",
       _xlfn.CONCAT(
           _xlfn.XLOOKUP(B406, MasterTable[IRA Custodian], MasterTable[City], ""), ", ",
           _xlfn.XLOOKUP(B406, MasterTable[IRA Custodian], MasterTable[State], ""), " ",
           _xlfn.XLOOKUP(B406, MasterTable[IRA Custodian], MasterTable[Zip], "")
       )
   )
)</f>
        <v>Empty Row</v>
      </c>
    </row>
    <row r="407" spans="1:10" x14ac:dyDescent="0.25">
      <c r="A407" t="str">
        <f>IF(D407="Empty Row", "Empty Row",
   _xlfn.LET(
       _xlpm.lookupResult, _xlfn.XLOOKUP(D407, RawDataTable[Account Name and Number], RawDataTable[Entity], "RAW DATA MISSING"),
       IF(ISBLANK(_xlpm.lookupResult), "RAW DATA MISSING", _xlpm.lookupResult)
   )
)</f>
        <v>Empty Row</v>
      </c>
      <c r="B407" t="str">
        <f>IF(D407="Empty Row", "Empty Row",
   _xlfn.LET(
       _xlpm.rawDataLookup, _xlfn.XLOOKUP(D407,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07" s="56" t="str" cm="1">
        <f t="array" ref="C407">IF(D407="Empty Row", "Empty Row",
   IF(COUNTIF('Name Mapping'!H:AD, D407) &gt; 0,
      INDEX('Name Mapping'!F:F, MATCH(TRUE, MMULT(--('Name Mapping'!H:AD=D407), TRANSPOSE(COLUMN('Name Mapping'!H:AD)^0)) &gt; 0, 0)),
      "")
)</f>
        <v>Empty Row</v>
      </c>
      <c r="D407" t="str">
        <f>IF(RawDataTable[[#This Row],[Account Name and Number]]&lt;&gt;"", RawDataTable[[#This Row],[Account Name and Number]], "Empty Row")</f>
        <v>Empty Row</v>
      </c>
      <c r="E407" s="28" t="str">
        <f>IF(D407="Empty Row", "Empty Row",
   _xlfn.LET(
       _xlpm.lookupResult, _xlfn.XLOOKUP(D407, RawDataTable[Account Name and Number], RawDataTable[Investment Date], "MISSING VALUE"),
       IF(ISNUMBER(_xlpm.lookupResult), _xlpm.lookupResult, "INVALID VALUE")
   )
)</f>
        <v>Empty Row</v>
      </c>
      <c r="F407" s="29" t="str">
        <f>IF(D407="Empty Row", "Empty Row",
   _xlfn.LET(
       _xlpm.lookupResult, _xlfn.XLOOKUP(D407, RawDataTable[Account Name and Number], RawDataTable[Investment Amount], "MISSING VALUE"),
       IF(ISNUMBER(_xlpm.lookupResult), _xlpm.lookupResult, "INVALID VALUE")
   )
)</f>
        <v>Empty Row</v>
      </c>
      <c r="G407" s="28" t="str">
        <f t="shared" ca="1" si="6"/>
        <v>Empty Row</v>
      </c>
      <c r="H407" s="29" t="str">
        <f>IF(D407="Empty Row", "Empty Row",
   _xlfn.LET(
       _xlpm.lookupResult, _xlfn.XLOOKUP(D407, RawDataTable[Account Name and Number], RawDataTable[Valuation Amount], "MISSING VALUE"),
       IF(ISNUMBER(_xlpm.lookupResult), _xlpm.lookupResult, "INVALID VALUE")
   )
)</f>
        <v>Empty Row</v>
      </c>
      <c r="I407" s="2" t="str">
        <f>IF(D407="Empty Row", "Empty Row", IF(_xlfn.XLOOKUP(B407, MasterTable[IRA Custodian], MasterTable[Address], "")="", "NO STREET NAME FOUND", _xlfn.XLOOKUP(B407, MasterTable[IRA Custodian], MasterTable[Address], "")))</f>
        <v>Empty Row</v>
      </c>
      <c r="J407" s="2" t="str">
        <f>IF(D407="Empty Row", "Empty Row",
   IF(OR(
       _xlfn.XLOOKUP(B407, MasterTable[IRA Custodian], MasterTable[City], "")="",
       _xlfn.XLOOKUP(B407, MasterTable[IRA Custodian], MasterTable[State], "")="",
       _xlfn.XLOOKUP(B407, MasterTable[IRA Custodian], MasterTable[Zip], "")=""),
       "INCOMPLETE ADDRESS",
       _xlfn.CONCAT(
           _xlfn.XLOOKUP(B407, MasterTable[IRA Custodian], MasterTable[City], ""), ", ",
           _xlfn.XLOOKUP(B407, MasterTable[IRA Custodian], MasterTable[State], ""), " ",
           _xlfn.XLOOKUP(B407, MasterTable[IRA Custodian], MasterTable[Zip], "")
       )
   )
)</f>
        <v>Empty Row</v>
      </c>
    </row>
    <row r="408" spans="1:10" x14ac:dyDescent="0.25">
      <c r="A408" t="str">
        <f>IF(D408="Empty Row", "Empty Row",
   _xlfn.LET(
       _xlpm.lookupResult, _xlfn.XLOOKUP(D408, RawDataTable[Account Name and Number], RawDataTable[Entity], "RAW DATA MISSING"),
       IF(ISBLANK(_xlpm.lookupResult), "RAW DATA MISSING", _xlpm.lookupResult)
   )
)</f>
        <v>Empty Row</v>
      </c>
      <c r="B408" t="str">
        <f>IF(D408="Empty Row", "Empty Row",
   _xlfn.LET(
       _xlpm.rawDataLookup, _xlfn.XLOOKUP(D408,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08" s="56" t="str" cm="1">
        <f t="array" ref="C408">IF(D408="Empty Row", "Empty Row",
   IF(COUNTIF('Name Mapping'!H:AD, D408) &gt; 0,
      INDEX('Name Mapping'!F:F, MATCH(TRUE, MMULT(--('Name Mapping'!H:AD=D408), TRANSPOSE(COLUMN('Name Mapping'!H:AD)^0)) &gt; 0, 0)),
      "")
)</f>
        <v>Empty Row</v>
      </c>
      <c r="D408" t="str">
        <f>IF(RawDataTable[[#This Row],[Account Name and Number]]&lt;&gt;"", RawDataTable[[#This Row],[Account Name and Number]], "Empty Row")</f>
        <v>Empty Row</v>
      </c>
      <c r="E408" s="28" t="str">
        <f>IF(D408="Empty Row", "Empty Row",
   _xlfn.LET(
       _xlpm.lookupResult, _xlfn.XLOOKUP(D408, RawDataTable[Account Name and Number], RawDataTable[Investment Date], "MISSING VALUE"),
       IF(ISNUMBER(_xlpm.lookupResult), _xlpm.lookupResult, "INVALID VALUE")
   )
)</f>
        <v>Empty Row</v>
      </c>
      <c r="F408" s="29" t="str">
        <f>IF(D408="Empty Row", "Empty Row",
   _xlfn.LET(
       _xlpm.lookupResult, _xlfn.XLOOKUP(D408, RawDataTable[Account Name and Number], RawDataTable[Investment Amount], "MISSING VALUE"),
       IF(ISNUMBER(_xlpm.lookupResult), _xlpm.lookupResult, "INVALID VALUE")
   )
)</f>
        <v>Empty Row</v>
      </c>
      <c r="G408" s="28" t="str">
        <f t="shared" ca="1" si="6"/>
        <v>Empty Row</v>
      </c>
      <c r="H408" s="29" t="str">
        <f>IF(D408="Empty Row", "Empty Row",
   _xlfn.LET(
       _xlpm.lookupResult, _xlfn.XLOOKUP(D408, RawDataTable[Account Name and Number], RawDataTable[Valuation Amount], "MISSING VALUE"),
       IF(ISNUMBER(_xlpm.lookupResult), _xlpm.lookupResult, "INVALID VALUE")
   )
)</f>
        <v>Empty Row</v>
      </c>
      <c r="I408" s="2" t="str">
        <f>IF(D408="Empty Row", "Empty Row", IF(_xlfn.XLOOKUP(B408, MasterTable[IRA Custodian], MasterTable[Address], "")="", "NO STREET NAME FOUND", _xlfn.XLOOKUP(B408, MasterTable[IRA Custodian], MasterTable[Address], "")))</f>
        <v>Empty Row</v>
      </c>
      <c r="J408" s="2" t="str">
        <f>IF(D408="Empty Row", "Empty Row",
   IF(OR(
       _xlfn.XLOOKUP(B408, MasterTable[IRA Custodian], MasterTable[City], "")="",
       _xlfn.XLOOKUP(B408, MasterTable[IRA Custodian], MasterTable[State], "")="",
       _xlfn.XLOOKUP(B408, MasterTable[IRA Custodian], MasterTable[Zip], "")=""),
       "INCOMPLETE ADDRESS",
       _xlfn.CONCAT(
           _xlfn.XLOOKUP(B408, MasterTable[IRA Custodian], MasterTable[City], ""), ", ",
           _xlfn.XLOOKUP(B408, MasterTable[IRA Custodian], MasterTable[State], ""), " ",
           _xlfn.XLOOKUP(B408, MasterTable[IRA Custodian], MasterTable[Zip], "")
       )
   )
)</f>
        <v>Empty Row</v>
      </c>
    </row>
    <row r="409" spans="1:10" x14ac:dyDescent="0.25">
      <c r="A409" t="str">
        <f>IF(D409="Empty Row", "Empty Row",
   _xlfn.LET(
       _xlpm.lookupResult, _xlfn.XLOOKUP(D409, RawDataTable[Account Name and Number], RawDataTable[Entity], "RAW DATA MISSING"),
       IF(ISBLANK(_xlpm.lookupResult), "RAW DATA MISSING", _xlpm.lookupResult)
   )
)</f>
        <v>Empty Row</v>
      </c>
      <c r="B409" t="str">
        <f>IF(D409="Empty Row", "Empty Row",
   _xlfn.LET(
       _xlpm.rawDataLookup, _xlfn.XLOOKUP(D409,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09" s="56" t="str" cm="1">
        <f t="array" ref="C409">IF(D409="Empty Row", "Empty Row",
   IF(COUNTIF('Name Mapping'!H:AD, D409) &gt; 0,
      INDEX('Name Mapping'!F:F, MATCH(TRUE, MMULT(--('Name Mapping'!H:AD=D409), TRANSPOSE(COLUMN('Name Mapping'!H:AD)^0)) &gt; 0, 0)),
      "")
)</f>
        <v>Empty Row</v>
      </c>
      <c r="D409" t="str">
        <f>IF(RawDataTable[[#This Row],[Account Name and Number]]&lt;&gt;"", RawDataTable[[#This Row],[Account Name and Number]], "Empty Row")</f>
        <v>Empty Row</v>
      </c>
      <c r="E409" s="28" t="str">
        <f>IF(D409="Empty Row", "Empty Row",
   _xlfn.LET(
       _xlpm.lookupResult, _xlfn.XLOOKUP(D409, RawDataTable[Account Name and Number], RawDataTable[Investment Date], "MISSING VALUE"),
       IF(ISNUMBER(_xlpm.lookupResult), _xlpm.lookupResult, "INVALID VALUE")
   )
)</f>
        <v>Empty Row</v>
      </c>
      <c r="F409" s="29" t="str">
        <f>IF(D409="Empty Row", "Empty Row",
   _xlfn.LET(
       _xlpm.lookupResult, _xlfn.XLOOKUP(D409, RawDataTable[Account Name and Number], RawDataTable[Investment Amount], "MISSING VALUE"),
       IF(ISNUMBER(_xlpm.lookupResult), _xlpm.lookupResult, "INVALID VALUE")
   )
)</f>
        <v>Empty Row</v>
      </c>
      <c r="G409" s="28" t="str">
        <f t="shared" ca="1" si="6"/>
        <v>Empty Row</v>
      </c>
      <c r="H409" s="29" t="str">
        <f>IF(D409="Empty Row", "Empty Row",
   _xlfn.LET(
       _xlpm.lookupResult, _xlfn.XLOOKUP(D409, RawDataTable[Account Name and Number], RawDataTable[Valuation Amount], "MISSING VALUE"),
       IF(ISNUMBER(_xlpm.lookupResult), _xlpm.lookupResult, "INVALID VALUE")
   )
)</f>
        <v>Empty Row</v>
      </c>
      <c r="I409" s="2" t="str">
        <f>IF(D409="Empty Row", "Empty Row", IF(_xlfn.XLOOKUP(B409, MasterTable[IRA Custodian], MasterTable[Address], "")="", "NO STREET NAME FOUND", _xlfn.XLOOKUP(B409, MasterTable[IRA Custodian], MasterTable[Address], "")))</f>
        <v>Empty Row</v>
      </c>
      <c r="J409" s="2" t="str">
        <f>IF(D409="Empty Row", "Empty Row",
   IF(OR(
       _xlfn.XLOOKUP(B409, MasterTable[IRA Custodian], MasterTable[City], "")="",
       _xlfn.XLOOKUP(B409, MasterTable[IRA Custodian], MasterTable[State], "")="",
       _xlfn.XLOOKUP(B409, MasterTable[IRA Custodian], MasterTable[Zip], "")=""),
       "INCOMPLETE ADDRESS",
       _xlfn.CONCAT(
           _xlfn.XLOOKUP(B409, MasterTable[IRA Custodian], MasterTable[City], ""), ", ",
           _xlfn.XLOOKUP(B409, MasterTable[IRA Custodian], MasterTable[State], ""), " ",
           _xlfn.XLOOKUP(B409, MasterTable[IRA Custodian], MasterTable[Zip], "")
       )
   )
)</f>
        <v>Empty Row</v>
      </c>
    </row>
    <row r="410" spans="1:10" x14ac:dyDescent="0.25">
      <c r="A410" t="str">
        <f>IF(D410="Empty Row", "Empty Row",
   _xlfn.LET(
       _xlpm.lookupResult, _xlfn.XLOOKUP(D410, RawDataTable[Account Name and Number], RawDataTable[Entity], "RAW DATA MISSING"),
       IF(ISBLANK(_xlpm.lookupResult), "RAW DATA MISSING", _xlpm.lookupResult)
   )
)</f>
        <v>Empty Row</v>
      </c>
      <c r="B410" t="str">
        <f>IF(D410="Empty Row", "Empty Row",
   _xlfn.LET(
       _xlpm.rawDataLookup, _xlfn.XLOOKUP(D410,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10" s="56" t="str" cm="1">
        <f t="array" ref="C410">IF(D410="Empty Row", "Empty Row",
   IF(COUNTIF('Name Mapping'!H:AD, D410) &gt; 0,
      INDEX('Name Mapping'!F:F, MATCH(TRUE, MMULT(--('Name Mapping'!H:AD=D410), TRANSPOSE(COLUMN('Name Mapping'!H:AD)^0)) &gt; 0, 0)),
      "")
)</f>
        <v>Empty Row</v>
      </c>
      <c r="D410" t="str">
        <f>IF(RawDataTable[[#This Row],[Account Name and Number]]&lt;&gt;"", RawDataTable[[#This Row],[Account Name and Number]], "Empty Row")</f>
        <v>Empty Row</v>
      </c>
      <c r="E410" s="28" t="str">
        <f>IF(D410="Empty Row", "Empty Row",
   _xlfn.LET(
       _xlpm.lookupResult, _xlfn.XLOOKUP(D410, RawDataTable[Account Name and Number], RawDataTable[Investment Date], "MISSING VALUE"),
       IF(ISNUMBER(_xlpm.lookupResult), _xlpm.lookupResult, "INVALID VALUE")
   )
)</f>
        <v>Empty Row</v>
      </c>
      <c r="F410" s="29" t="str">
        <f>IF(D410="Empty Row", "Empty Row",
   _xlfn.LET(
       _xlpm.lookupResult, _xlfn.XLOOKUP(D410, RawDataTable[Account Name and Number], RawDataTable[Investment Amount], "MISSING VALUE"),
       IF(ISNUMBER(_xlpm.lookupResult), _xlpm.lookupResult, "INVALID VALUE")
   )
)</f>
        <v>Empty Row</v>
      </c>
      <c r="G410" s="28" t="str">
        <f t="shared" ca="1" si="6"/>
        <v>Empty Row</v>
      </c>
      <c r="H410" s="29" t="str">
        <f>IF(D410="Empty Row", "Empty Row",
   _xlfn.LET(
       _xlpm.lookupResult, _xlfn.XLOOKUP(D410, RawDataTable[Account Name and Number], RawDataTable[Valuation Amount], "MISSING VALUE"),
       IF(ISNUMBER(_xlpm.lookupResult), _xlpm.lookupResult, "INVALID VALUE")
   )
)</f>
        <v>Empty Row</v>
      </c>
      <c r="I410" s="2" t="str">
        <f>IF(D410="Empty Row", "Empty Row", IF(_xlfn.XLOOKUP(B410, MasterTable[IRA Custodian], MasterTable[Address], "")="", "NO STREET NAME FOUND", _xlfn.XLOOKUP(B410, MasterTable[IRA Custodian], MasterTable[Address], "")))</f>
        <v>Empty Row</v>
      </c>
      <c r="J410" s="2" t="str">
        <f>IF(D410="Empty Row", "Empty Row",
   IF(OR(
       _xlfn.XLOOKUP(B410, MasterTable[IRA Custodian], MasterTable[City], "")="",
       _xlfn.XLOOKUP(B410, MasterTable[IRA Custodian], MasterTable[State], "")="",
       _xlfn.XLOOKUP(B410, MasterTable[IRA Custodian], MasterTable[Zip], "")=""),
       "INCOMPLETE ADDRESS",
       _xlfn.CONCAT(
           _xlfn.XLOOKUP(B410, MasterTable[IRA Custodian], MasterTable[City], ""), ", ",
           _xlfn.XLOOKUP(B410, MasterTable[IRA Custodian], MasterTable[State], ""), " ",
           _xlfn.XLOOKUP(B410, MasterTable[IRA Custodian], MasterTable[Zip], "")
       )
   )
)</f>
        <v>Empty Row</v>
      </c>
    </row>
    <row r="411" spans="1:10" x14ac:dyDescent="0.25">
      <c r="A411" t="str">
        <f>IF(D411="Empty Row", "Empty Row",
   _xlfn.LET(
       _xlpm.lookupResult, _xlfn.XLOOKUP(D411, RawDataTable[Account Name and Number], RawDataTable[Entity], "RAW DATA MISSING"),
       IF(ISBLANK(_xlpm.lookupResult), "RAW DATA MISSING", _xlpm.lookupResult)
   )
)</f>
        <v>Empty Row</v>
      </c>
      <c r="B411" t="str">
        <f>IF(D411="Empty Row", "Empty Row",
   _xlfn.LET(
       _xlpm.rawDataLookup, _xlfn.XLOOKUP(D411,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11" s="56" t="str" cm="1">
        <f t="array" ref="C411">IF(D411="Empty Row", "Empty Row",
   IF(COUNTIF('Name Mapping'!H:AD, D411) &gt; 0,
      INDEX('Name Mapping'!F:F, MATCH(TRUE, MMULT(--('Name Mapping'!H:AD=D411), TRANSPOSE(COLUMN('Name Mapping'!H:AD)^0)) &gt; 0, 0)),
      "")
)</f>
        <v>Empty Row</v>
      </c>
      <c r="D411" t="str">
        <f>IF(RawDataTable[[#This Row],[Account Name and Number]]&lt;&gt;"", RawDataTable[[#This Row],[Account Name and Number]], "Empty Row")</f>
        <v>Empty Row</v>
      </c>
      <c r="E411" s="28" t="str">
        <f>IF(D411="Empty Row", "Empty Row",
   _xlfn.LET(
       _xlpm.lookupResult, _xlfn.XLOOKUP(D411, RawDataTable[Account Name and Number], RawDataTable[Investment Date], "MISSING VALUE"),
       IF(ISNUMBER(_xlpm.lookupResult), _xlpm.lookupResult, "INVALID VALUE")
   )
)</f>
        <v>Empty Row</v>
      </c>
      <c r="F411" s="29" t="str">
        <f>IF(D411="Empty Row", "Empty Row",
   _xlfn.LET(
       _xlpm.lookupResult, _xlfn.XLOOKUP(D411, RawDataTable[Account Name and Number], RawDataTable[Investment Amount], "MISSING VALUE"),
       IF(ISNUMBER(_xlpm.lookupResult), _xlpm.lookupResult, "INVALID VALUE")
   )
)</f>
        <v>Empty Row</v>
      </c>
      <c r="G411" s="28" t="str">
        <f t="shared" ca="1" si="6"/>
        <v>Empty Row</v>
      </c>
      <c r="H411" s="29" t="str">
        <f>IF(D411="Empty Row", "Empty Row",
   _xlfn.LET(
       _xlpm.lookupResult, _xlfn.XLOOKUP(D411, RawDataTable[Account Name and Number], RawDataTable[Valuation Amount], "MISSING VALUE"),
       IF(ISNUMBER(_xlpm.lookupResult), _xlpm.lookupResult, "INVALID VALUE")
   )
)</f>
        <v>Empty Row</v>
      </c>
      <c r="I411" s="2" t="str">
        <f>IF(D411="Empty Row", "Empty Row", IF(_xlfn.XLOOKUP(B411, MasterTable[IRA Custodian], MasterTable[Address], "")="", "NO STREET NAME FOUND", _xlfn.XLOOKUP(B411, MasterTable[IRA Custodian], MasterTable[Address], "")))</f>
        <v>Empty Row</v>
      </c>
      <c r="J411" s="2" t="str">
        <f>IF(D411="Empty Row", "Empty Row",
   IF(OR(
       _xlfn.XLOOKUP(B411, MasterTable[IRA Custodian], MasterTable[City], "")="",
       _xlfn.XLOOKUP(B411, MasterTable[IRA Custodian], MasterTable[State], "")="",
       _xlfn.XLOOKUP(B411, MasterTable[IRA Custodian], MasterTable[Zip], "")=""),
       "INCOMPLETE ADDRESS",
       _xlfn.CONCAT(
           _xlfn.XLOOKUP(B411, MasterTable[IRA Custodian], MasterTable[City], ""), ", ",
           _xlfn.XLOOKUP(B411, MasterTable[IRA Custodian], MasterTable[State], ""), " ",
           _xlfn.XLOOKUP(B411, MasterTable[IRA Custodian], MasterTable[Zip], "")
       )
   )
)</f>
        <v>Empty Row</v>
      </c>
    </row>
    <row r="412" spans="1:10" x14ac:dyDescent="0.25">
      <c r="A412" t="str">
        <f>IF(D412="Empty Row", "Empty Row",
   _xlfn.LET(
       _xlpm.lookupResult, _xlfn.XLOOKUP(D412, RawDataTable[Account Name and Number], RawDataTable[Entity], "RAW DATA MISSING"),
       IF(ISBLANK(_xlpm.lookupResult), "RAW DATA MISSING", _xlpm.lookupResult)
   )
)</f>
        <v>Empty Row</v>
      </c>
      <c r="B412" t="str">
        <f>IF(D412="Empty Row", "Empty Row",
   _xlfn.LET(
       _xlpm.rawDataLookup, _xlfn.XLOOKUP(D412,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12" s="56" t="str" cm="1">
        <f t="array" ref="C412">IF(D412="Empty Row", "Empty Row",
   IF(COUNTIF('Name Mapping'!H:AD, D412) &gt; 0,
      INDEX('Name Mapping'!F:F, MATCH(TRUE, MMULT(--('Name Mapping'!H:AD=D412), TRANSPOSE(COLUMN('Name Mapping'!H:AD)^0)) &gt; 0, 0)),
      "")
)</f>
        <v>Empty Row</v>
      </c>
      <c r="D412" t="str">
        <f>IF(RawDataTable[[#This Row],[Account Name and Number]]&lt;&gt;"", RawDataTable[[#This Row],[Account Name and Number]], "Empty Row")</f>
        <v>Empty Row</v>
      </c>
      <c r="E412" s="28" t="str">
        <f>IF(D412="Empty Row", "Empty Row",
   _xlfn.LET(
       _xlpm.lookupResult, _xlfn.XLOOKUP(D412, RawDataTable[Account Name and Number], RawDataTable[Investment Date], "MISSING VALUE"),
       IF(ISNUMBER(_xlpm.lookupResult), _xlpm.lookupResult, "INVALID VALUE")
   )
)</f>
        <v>Empty Row</v>
      </c>
      <c r="F412" s="29" t="str">
        <f>IF(D412="Empty Row", "Empty Row",
   _xlfn.LET(
       _xlpm.lookupResult, _xlfn.XLOOKUP(D412, RawDataTable[Account Name and Number], RawDataTable[Investment Amount], "MISSING VALUE"),
       IF(ISNUMBER(_xlpm.lookupResult), _xlpm.lookupResult, "INVALID VALUE")
   )
)</f>
        <v>Empty Row</v>
      </c>
      <c r="G412" s="28" t="str">
        <f t="shared" ca="1" si="6"/>
        <v>Empty Row</v>
      </c>
      <c r="H412" s="29" t="str">
        <f>IF(D412="Empty Row", "Empty Row",
   _xlfn.LET(
       _xlpm.lookupResult, _xlfn.XLOOKUP(D412, RawDataTable[Account Name and Number], RawDataTable[Valuation Amount], "MISSING VALUE"),
       IF(ISNUMBER(_xlpm.lookupResult), _xlpm.lookupResult, "INVALID VALUE")
   )
)</f>
        <v>Empty Row</v>
      </c>
      <c r="I412" s="2" t="str">
        <f>IF(D412="Empty Row", "Empty Row", IF(_xlfn.XLOOKUP(B412, MasterTable[IRA Custodian], MasterTable[Address], "")="", "NO STREET NAME FOUND", _xlfn.XLOOKUP(B412, MasterTable[IRA Custodian], MasterTable[Address], "")))</f>
        <v>Empty Row</v>
      </c>
      <c r="J412" s="2" t="str">
        <f>IF(D412="Empty Row", "Empty Row",
   IF(OR(
       _xlfn.XLOOKUP(B412, MasterTable[IRA Custodian], MasterTable[City], "")="",
       _xlfn.XLOOKUP(B412, MasterTable[IRA Custodian], MasterTable[State], "")="",
       _xlfn.XLOOKUP(B412, MasterTable[IRA Custodian], MasterTable[Zip], "")=""),
       "INCOMPLETE ADDRESS",
       _xlfn.CONCAT(
           _xlfn.XLOOKUP(B412, MasterTable[IRA Custodian], MasterTable[City], ""), ", ",
           _xlfn.XLOOKUP(B412, MasterTable[IRA Custodian], MasterTable[State], ""), " ",
           _xlfn.XLOOKUP(B412, MasterTable[IRA Custodian], MasterTable[Zip], "")
       )
   )
)</f>
        <v>Empty Row</v>
      </c>
    </row>
    <row r="413" spans="1:10" x14ac:dyDescent="0.25">
      <c r="A413" t="str">
        <f>IF(D413="Empty Row", "Empty Row",
   _xlfn.LET(
       _xlpm.lookupResult, _xlfn.XLOOKUP(D413, RawDataTable[Account Name and Number], RawDataTable[Entity], "RAW DATA MISSING"),
       IF(ISBLANK(_xlpm.lookupResult), "RAW DATA MISSING", _xlpm.lookupResult)
   )
)</f>
        <v>Empty Row</v>
      </c>
      <c r="B413" t="str">
        <f>IF(D413="Empty Row", "Empty Row",
   _xlfn.LET(
       _xlpm.rawDataLookup, _xlfn.XLOOKUP(D413,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13" s="56" t="str" cm="1">
        <f t="array" ref="C413">IF(D413="Empty Row", "Empty Row",
   IF(COUNTIF('Name Mapping'!H:AD, D413) &gt; 0,
      INDEX('Name Mapping'!F:F, MATCH(TRUE, MMULT(--('Name Mapping'!H:AD=D413), TRANSPOSE(COLUMN('Name Mapping'!H:AD)^0)) &gt; 0, 0)),
      "")
)</f>
        <v>Empty Row</v>
      </c>
      <c r="D413" t="str">
        <f>IF(RawDataTable[[#This Row],[Account Name and Number]]&lt;&gt;"", RawDataTable[[#This Row],[Account Name and Number]], "Empty Row")</f>
        <v>Empty Row</v>
      </c>
      <c r="E413" s="28" t="str">
        <f>IF(D413="Empty Row", "Empty Row",
   _xlfn.LET(
       _xlpm.lookupResult, _xlfn.XLOOKUP(D413, RawDataTable[Account Name and Number], RawDataTable[Investment Date], "MISSING VALUE"),
       IF(ISNUMBER(_xlpm.lookupResult), _xlpm.lookupResult, "INVALID VALUE")
   )
)</f>
        <v>Empty Row</v>
      </c>
      <c r="F413" s="29" t="str">
        <f>IF(D413="Empty Row", "Empty Row",
   _xlfn.LET(
       _xlpm.lookupResult, _xlfn.XLOOKUP(D413, RawDataTable[Account Name and Number], RawDataTable[Investment Amount], "MISSING VALUE"),
       IF(ISNUMBER(_xlpm.lookupResult), _xlpm.lookupResult, "INVALID VALUE")
   )
)</f>
        <v>Empty Row</v>
      </c>
      <c r="G413" s="28" t="str">
        <f t="shared" ca="1" si="6"/>
        <v>Empty Row</v>
      </c>
      <c r="H413" s="29" t="str">
        <f>IF(D413="Empty Row", "Empty Row",
   _xlfn.LET(
       _xlpm.lookupResult, _xlfn.XLOOKUP(D413, RawDataTable[Account Name and Number], RawDataTable[Valuation Amount], "MISSING VALUE"),
       IF(ISNUMBER(_xlpm.lookupResult), _xlpm.lookupResult, "INVALID VALUE")
   )
)</f>
        <v>Empty Row</v>
      </c>
      <c r="I413" s="2" t="str">
        <f>IF(D413="Empty Row", "Empty Row", IF(_xlfn.XLOOKUP(B413, MasterTable[IRA Custodian], MasterTable[Address], "")="", "NO STREET NAME FOUND", _xlfn.XLOOKUP(B413, MasterTable[IRA Custodian], MasterTable[Address], "")))</f>
        <v>Empty Row</v>
      </c>
      <c r="J413" s="2" t="str">
        <f>IF(D413="Empty Row", "Empty Row",
   IF(OR(
       _xlfn.XLOOKUP(B413, MasterTable[IRA Custodian], MasterTable[City], "")="",
       _xlfn.XLOOKUP(B413, MasterTable[IRA Custodian], MasterTable[State], "")="",
       _xlfn.XLOOKUP(B413, MasterTable[IRA Custodian], MasterTable[Zip], "")=""),
       "INCOMPLETE ADDRESS",
       _xlfn.CONCAT(
           _xlfn.XLOOKUP(B413, MasterTable[IRA Custodian], MasterTable[City], ""), ", ",
           _xlfn.XLOOKUP(B413, MasterTable[IRA Custodian], MasterTable[State], ""), " ",
           _xlfn.XLOOKUP(B413, MasterTable[IRA Custodian], MasterTable[Zip], "")
       )
   )
)</f>
        <v>Empty Row</v>
      </c>
    </row>
    <row r="414" spans="1:10" x14ac:dyDescent="0.25">
      <c r="A414" t="str">
        <f>IF(D414="Empty Row", "Empty Row",
   _xlfn.LET(
       _xlpm.lookupResult, _xlfn.XLOOKUP(D414, RawDataTable[Account Name and Number], RawDataTable[Entity], "RAW DATA MISSING"),
       IF(ISBLANK(_xlpm.lookupResult), "RAW DATA MISSING", _xlpm.lookupResult)
   )
)</f>
        <v>Empty Row</v>
      </c>
      <c r="B414" t="str">
        <f>IF(D414="Empty Row", "Empty Row",
   _xlfn.LET(
       _xlpm.rawDataLookup, _xlfn.XLOOKUP(D414,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14" s="56" t="str" cm="1">
        <f t="array" ref="C414">IF(D414="Empty Row", "Empty Row",
   IF(COUNTIF('Name Mapping'!H:AD, D414) &gt; 0,
      INDEX('Name Mapping'!F:F, MATCH(TRUE, MMULT(--('Name Mapping'!H:AD=D414), TRANSPOSE(COLUMN('Name Mapping'!H:AD)^0)) &gt; 0, 0)),
      "")
)</f>
        <v>Empty Row</v>
      </c>
      <c r="D414" t="str">
        <f>IF(RawDataTable[[#This Row],[Account Name and Number]]&lt;&gt;"", RawDataTable[[#This Row],[Account Name and Number]], "Empty Row")</f>
        <v>Empty Row</v>
      </c>
      <c r="E414" s="28" t="str">
        <f>IF(D414="Empty Row", "Empty Row",
   _xlfn.LET(
       _xlpm.lookupResult, _xlfn.XLOOKUP(D414, RawDataTable[Account Name and Number], RawDataTable[Investment Date], "MISSING VALUE"),
       IF(ISNUMBER(_xlpm.lookupResult), _xlpm.lookupResult, "INVALID VALUE")
   )
)</f>
        <v>Empty Row</v>
      </c>
      <c r="F414" s="29" t="str">
        <f>IF(D414="Empty Row", "Empty Row",
   _xlfn.LET(
       _xlpm.lookupResult, _xlfn.XLOOKUP(D414, RawDataTable[Account Name and Number], RawDataTable[Investment Amount], "MISSING VALUE"),
       IF(ISNUMBER(_xlpm.lookupResult), _xlpm.lookupResult, "INVALID VALUE")
   )
)</f>
        <v>Empty Row</v>
      </c>
      <c r="G414" s="28" t="str">
        <f t="shared" ca="1" si="6"/>
        <v>Empty Row</v>
      </c>
      <c r="H414" s="29" t="str">
        <f>IF(D414="Empty Row", "Empty Row",
   _xlfn.LET(
       _xlpm.lookupResult, _xlfn.XLOOKUP(D414, RawDataTable[Account Name and Number], RawDataTable[Valuation Amount], "MISSING VALUE"),
       IF(ISNUMBER(_xlpm.lookupResult), _xlpm.lookupResult, "INVALID VALUE")
   )
)</f>
        <v>Empty Row</v>
      </c>
      <c r="I414" s="2" t="str">
        <f>IF(D414="Empty Row", "Empty Row", IF(_xlfn.XLOOKUP(B414, MasterTable[IRA Custodian], MasterTable[Address], "")="", "NO STREET NAME FOUND", _xlfn.XLOOKUP(B414, MasterTable[IRA Custodian], MasterTable[Address], "")))</f>
        <v>Empty Row</v>
      </c>
      <c r="J414" s="2" t="str">
        <f>IF(D414="Empty Row", "Empty Row",
   IF(OR(
       _xlfn.XLOOKUP(B414, MasterTable[IRA Custodian], MasterTable[City], "")="",
       _xlfn.XLOOKUP(B414, MasterTable[IRA Custodian], MasterTable[State], "")="",
       _xlfn.XLOOKUP(B414, MasterTable[IRA Custodian], MasterTable[Zip], "")=""),
       "INCOMPLETE ADDRESS",
       _xlfn.CONCAT(
           _xlfn.XLOOKUP(B414, MasterTable[IRA Custodian], MasterTable[City], ""), ", ",
           _xlfn.XLOOKUP(B414, MasterTable[IRA Custodian], MasterTable[State], ""), " ",
           _xlfn.XLOOKUP(B414, MasterTable[IRA Custodian], MasterTable[Zip], "")
       )
   )
)</f>
        <v>Empty Row</v>
      </c>
    </row>
    <row r="415" spans="1:10" x14ac:dyDescent="0.25">
      <c r="A415" t="str">
        <f>IF(D415="Empty Row", "Empty Row",
   _xlfn.LET(
       _xlpm.lookupResult, _xlfn.XLOOKUP(D415, RawDataTable[Account Name and Number], RawDataTable[Entity], "RAW DATA MISSING"),
       IF(ISBLANK(_xlpm.lookupResult), "RAW DATA MISSING", _xlpm.lookupResult)
   )
)</f>
        <v>Empty Row</v>
      </c>
      <c r="B415" t="str">
        <f>IF(D415="Empty Row", "Empty Row",
   _xlfn.LET(
       _xlpm.rawDataLookup, _xlfn.XLOOKUP(D415,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15" s="56" t="str" cm="1">
        <f t="array" ref="C415">IF(D415="Empty Row", "Empty Row",
   IF(COUNTIF('Name Mapping'!H:AD, D415) &gt; 0,
      INDEX('Name Mapping'!F:F, MATCH(TRUE, MMULT(--('Name Mapping'!H:AD=D415), TRANSPOSE(COLUMN('Name Mapping'!H:AD)^0)) &gt; 0, 0)),
      "")
)</f>
        <v>Empty Row</v>
      </c>
      <c r="D415" t="str">
        <f>IF(RawDataTable[[#This Row],[Account Name and Number]]&lt;&gt;"", RawDataTable[[#This Row],[Account Name and Number]], "Empty Row")</f>
        <v>Empty Row</v>
      </c>
      <c r="E415" s="28" t="str">
        <f>IF(D415="Empty Row", "Empty Row",
   _xlfn.LET(
       _xlpm.lookupResult, _xlfn.XLOOKUP(D415, RawDataTable[Account Name and Number], RawDataTable[Investment Date], "MISSING VALUE"),
       IF(ISNUMBER(_xlpm.lookupResult), _xlpm.lookupResult, "INVALID VALUE")
   )
)</f>
        <v>Empty Row</v>
      </c>
      <c r="F415" s="29" t="str">
        <f>IF(D415="Empty Row", "Empty Row",
   _xlfn.LET(
       _xlpm.lookupResult, _xlfn.XLOOKUP(D415, RawDataTable[Account Name and Number], RawDataTable[Investment Amount], "MISSING VALUE"),
       IF(ISNUMBER(_xlpm.lookupResult), _xlpm.lookupResult, "INVALID VALUE")
   )
)</f>
        <v>Empty Row</v>
      </c>
      <c r="G415" s="28" t="str">
        <f t="shared" ca="1" si="6"/>
        <v>Empty Row</v>
      </c>
      <c r="H415" s="29" t="str">
        <f>IF(D415="Empty Row", "Empty Row",
   _xlfn.LET(
       _xlpm.lookupResult, _xlfn.XLOOKUP(D415, RawDataTable[Account Name and Number], RawDataTable[Valuation Amount], "MISSING VALUE"),
       IF(ISNUMBER(_xlpm.lookupResult), _xlpm.lookupResult, "INVALID VALUE")
   )
)</f>
        <v>Empty Row</v>
      </c>
      <c r="I415" s="2" t="str">
        <f>IF(D415="Empty Row", "Empty Row", IF(_xlfn.XLOOKUP(B415, MasterTable[IRA Custodian], MasterTable[Address], "")="", "NO STREET NAME FOUND", _xlfn.XLOOKUP(B415, MasterTable[IRA Custodian], MasterTable[Address], "")))</f>
        <v>Empty Row</v>
      </c>
      <c r="J415" s="2" t="str">
        <f>IF(D415="Empty Row", "Empty Row",
   IF(OR(
       _xlfn.XLOOKUP(B415, MasterTable[IRA Custodian], MasterTable[City], "")="",
       _xlfn.XLOOKUP(B415, MasterTable[IRA Custodian], MasterTable[State], "")="",
       _xlfn.XLOOKUP(B415, MasterTable[IRA Custodian], MasterTable[Zip], "")=""),
       "INCOMPLETE ADDRESS",
       _xlfn.CONCAT(
           _xlfn.XLOOKUP(B415, MasterTable[IRA Custodian], MasterTable[City], ""), ", ",
           _xlfn.XLOOKUP(B415, MasterTable[IRA Custodian], MasterTable[State], ""), " ",
           _xlfn.XLOOKUP(B415, MasterTable[IRA Custodian], MasterTable[Zip], "")
       )
   )
)</f>
        <v>Empty Row</v>
      </c>
    </row>
    <row r="416" spans="1:10" x14ac:dyDescent="0.25">
      <c r="A416" t="str">
        <f>IF(D416="Empty Row", "Empty Row",
   _xlfn.LET(
       _xlpm.lookupResult, _xlfn.XLOOKUP(D416, RawDataTable[Account Name and Number], RawDataTable[Entity], "RAW DATA MISSING"),
       IF(ISBLANK(_xlpm.lookupResult), "RAW DATA MISSING", _xlpm.lookupResult)
   )
)</f>
        <v>Empty Row</v>
      </c>
      <c r="B416" t="str">
        <f>IF(D416="Empty Row", "Empty Row",
   _xlfn.LET(
       _xlpm.rawDataLookup, _xlfn.XLOOKUP(D416,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16" s="56" t="str" cm="1">
        <f t="array" ref="C416">IF(D416="Empty Row", "Empty Row",
   IF(COUNTIF('Name Mapping'!H:AD, D416) &gt; 0,
      INDEX('Name Mapping'!F:F, MATCH(TRUE, MMULT(--('Name Mapping'!H:AD=D416), TRANSPOSE(COLUMN('Name Mapping'!H:AD)^0)) &gt; 0, 0)),
      "")
)</f>
        <v>Empty Row</v>
      </c>
      <c r="D416" t="str">
        <f>IF(RawDataTable[[#This Row],[Account Name and Number]]&lt;&gt;"", RawDataTable[[#This Row],[Account Name and Number]], "Empty Row")</f>
        <v>Empty Row</v>
      </c>
      <c r="E416" s="28" t="str">
        <f>IF(D416="Empty Row", "Empty Row",
   _xlfn.LET(
       _xlpm.lookupResult, _xlfn.XLOOKUP(D416, RawDataTable[Account Name and Number], RawDataTable[Investment Date], "MISSING VALUE"),
       IF(ISNUMBER(_xlpm.lookupResult), _xlpm.lookupResult, "INVALID VALUE")
   )
)</f>
        <v>Empty Row</v>
      </c>
      <c r="F416" s="29" t="str">
        <f>IF(D416="Empty Row", "Empty Row",
   _xlfn.LET(
       _xlpm.lookupResult, _xlfn.XLOOKUP(D416, RawDataTable[Account Name and Number], RawDataTable[Investment Amount], "MISSING VALUE"),
       IF(ISNUMBER(_xlpm.lookupResult), _xlpm.lookupResult, "INVALID VALUE")
   )
)</f>
        <v>Empty Row</v>
      </c>
      <c r="G416" s="28" t="str">
        <f t="shared" ca="1" si="6"/>
        <v>Empty Row</v>
      </c>
      <c r="H416" s="29" t="str">
        <f>IF(D416="Empty Row", "Empty Row",
   _xlfn.LET(
       _xlpm.lookupResult, _xlfn.XLOOKUP(D416, RawDataTable[Account Name and Number], RawDataTable[Valuation Amount], "MISSING VALUE"),
       IF(ISNUMBER(_xlpm.lookupResult), _xlpm.lookupResult, "INVALID VALUE")
   )
)</f>
        <v>Empty Row</v>
      </c>
      <c r="I416" s="2" t="str">
        <f>IF(D416="Empty Row", "Empty Row", IF(_xlfn.XLOOKUP(B416, MasterTable[IRA Custodian], MasterTable[Address], "")="", "NO STREET NAME FOUND", _xlfn.XLOOKUP(B416, MasterTable[IRA Custodian], MasterTable[Address], "")))</f>
        <v>Empty Row</v>
      </c>
      <c r="J416" s="2" t="str">
        <f>IF(D416="Empty Row", "Empty Row",
   IF(OR(
       _xlfn.XLOOKUP(B416, MasterTable[IRA Custodian], MasterTable[City], "")="",
       _xlfn.XLOOKUP(B416, MasterTable[IRA Custodian], MasterTable[State], "")="",
       _xlfn.XLOOKUP(B416, MasterTable[IRA Custodian], MasterTable[Zip], "")=""),
       "INCOMPLETE ADDRESS",
       _xlfn.CONCAT(
           _xlfn.XLOOKUP(B416, MasterTable[IRA Custodian], MasterTable[City], ""), ", ",
           _xlfn.XLOOKUP(B416, MasterTable[IRA Custodian], MasterTable[State], ""), " ",
           _xlfn.XLOOKUP(B416, MasterTable[IRA Custodian], MasterTable[Zip], "")
       )
   )
)</f>
        <v>Empty Row</v>
      </c>
    </row>
    <row r="417" spans="1:10" x14ac:dyDescent="0.25">
      <c r="A417" t="str">
        <f>IF(D417="Empty Row", "Empty Row",
   _xlfn.LET(
       _xlpm.lookupResult, _xlfn.XLOOKUP(D417, RawDataTable[Account Name and Number], RawDataTable[Entity], "RAW DATA MISSING"),
       IF(ISBLANK(_xlpm.lookupResult), "RAW DATA MISSING", _xlpm.lookupResult)
   )
)</f>
        <v>Empty Row</v>
      </c>
      <c r="B417" t="str">
        <f>IF(D417="Empty Row", "Empty Row",
   _xlfn.LET(
       _xlpm.rawDataLookup, _xlfn.XLOOKUP(D417,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17" s="56" t="str" cm="1">
        <f t="array" ref="C417">IF(D417="Empty Row", "Empty Row",
   IF(COUNTIF('Name Mapping'!H:AD, D417) &gt; 0,
      INDEX('Name Mapping'!F:F, MATCH(TRUE, MMULT(--('Name Mapping'!H:AD=D417), TRANSPOSE(COLUMN('Name Mapping'!H:AD)^0)) &gt; 0, 0)),
      "")
)</f>
        <v>Empty Row</v>
      </c>
      <c r="D417" t="str">
        <f>IF(RawDataTable[[#This Row],[Account Name and Number]]&lt;&gt;"", RawDataTable[[#This Row],[Account Name and Number]], "Empty Row")</f>
        <v>Empty Row</v>
      </c>
      <c r="E417" s="28" t="str">
        <f>IF(D417="Empty Row", "Empty Row",
   _xlfn.LET(
       _xlpm.lookupResult, _xlfn.XLOOKUP(D417, RawDataTable[Account Name and Number], RawDataTable[Investment Date], "MISSING VALUE"),
       IF(ISNUMBER(_xlpm.lookupResult), _xlpm.lookupResult, "INVALID VALUE")
   )
)</f>
        <v>Empty Row</v>
      </c>
      <c r="F417" s="29" t="str">
        <f>IF(D417="Empty Row", "Empty Row",
   _xlfn.LET(
       _xlpm.lookupResult, _xlfn.XLOOKUP(D417, RawDataTable[Account Name and Number], RawDataTable[Investment Amount], "MISSING VALUE"),
       IF(ISNUMBER(_xlpm.lookupResult), _xlpm.lookupResult, "INVALID VALUE")
   )
)</f>
        <v>Empty Row</v>
      </c>
      <c r="G417" s="28" t="str">
        <f t="shared" ca="1" si="6"/>
        <v>Empty Row</v>
      </c>
      <c r="H417" s="29" t="str">
        <f>IF(D417="Empty Row", "Empty Row",
   _xlfn.LET(
       _xlpm.lookupResult, _xlfn.XLOOKUP(D417, RawDataTable[Account Name and Number], RawDataTable[Valuation Amount], "MISSING VALUE"),
       IF(ISNUMBER(_xlpm.lookupResult), _xlpm.lookupResult, "INVALID VALUE")
   )
)</f>
        <v>Empty Row</v>
      </c>
      <c r="I417" s="2" t="str">
        <f>IF(D417="Empty Row", "Empty Row", IF(_xlfn.XLOOKUP(B417, MasterTable[IRA Custodian], MasterTable[Address], "")="", "NO STREET NAME FOUND", _xlfn.XLOOKUP(B417, MasterTable[IRA Custodian], MasterTable[Address], "")))</f>
        <v>Empty Row</v>
      </c>
      <c r="J417" s="2" t="str">
        <f>IF(D417="Empty Row", "Empty Row",
   IF(OR(
       _xlfn.XLOOKUP(B417, MasterTable[IRA Custodian], MasterTable[City], "")="",
       _xlfn.XLOOKUP(B417, MasterTable[IRA Custodian], MasterTable[State], "")="",
       _xlfn.XLOOKUP(B417, MasterTable[IRA Custodian], MasterTable[Zip], "")=""),
       "INCOMPLETE ADDRESS",
       _xlfn.CONCAT(
           _xlfn.XLOOKUP(B417, MasterTable[IRA Custodian], MasterTable[City], ""), ", ",
           _xlfn.XLOOKUP(B417, MasterTable[IRA Custodian], MasterTable[State], ""), " ",
           _xlfn.XLOOKUP(B417, MasterTable[IRA Custodian], MasterTable[Zip], "")
       )
   )
)</f>
        <v>Empty Row</v>
      </c>
    </row>
    <row r="418" spans="1:10" x14ac:dyDescent="0.25">
      <c r="A418" t="str">
        <f>IF(D418="Empty Row", "Empty Row",
   _xlfn.LET(
       _xlpm.lookupResult, _xlfn.XLOOKUP(D418, RawDataTable[Account Name and Number], RawDataTable[Entity], "RAW DATA MISSING"),
       IF(ISBLANK(_xlpm.lookupResult), "RAW DATA MISSING", _xlpm.lookupResult)
   )
)</f>
        <v>Empty Row</v>
      </c>
      <c r="B418" t="str">
        <f>IF(D418="Empty Row", "Empty Row",
   _xlfn.LET(
       _xlpm.rawDataLookup, _xlfn.XLOOKUP(D418,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18" s="56" t="str" cm="1">
        <f t="array" ref="C418">IF(D418="Empty Row", "Empty Row",
   IF(COUNTIF('Name Mapping'!H:AD, D418) &gt; 0,
      INDEX('Name Mapping'!F:F, MATCH(TRUE, MMULT(--('Name Mapping'!H:AD=D418), TRANSPOSE(COLUMN('Name Mapping'!H:AD)^0)) &gt; 0, 0)),
      "")
)</f>
        <v>Empty Row</v>
      </c>
      <c r="D418" t="str">
        <f>IF(RawDataTable[[#This Row],[Account Name and Number]]&lt;&gt;"", RawDataTable[[#This Row],[Account Name and Number]], "Empty Row")</f>
        <v>Empty Row</v>
      </c>
      <c r="E418" s="28" t="str">
        <f>IF(D418="Empty Row", "Empty Row",
   _xlfn.LET(
       _xlpm.lookupResult, _xlfn.XLOOKUP(D418, RawDataTable[Account Name and Number], RawDataTable[Investment Date], "MISSING VALUE"),
       IF(ISNUMBER(_xlpm.lookupResult), _xlpm.lookupResult, "INVALID VALUE")
   )
)</f>
        <v>Empty Row</v>
      </c>
      <c r="F418" s="29" t="str">
        <f>IF(D418="Empty Row", "Empty Row",
   _xlfn.LET(
       _xlpm.lookupResult, _xlfn.XLOOKUP(D418, RawDataTable[Account Name and Number], RawDataTable[Investment Amount], "MISSING VALUE"),
       IF(ISNUMBER(_xlpm.lookupResult), _xlpm.lookupResult, "INVALID VALUE")
   )
)</f>
        <v>Empty Row</v>
      </c>
      <c r="G418" s="28" t="str">
        <f t="shared" ca="1" si="6"/>
        <v>Empty Row</v>
      </c>
      <c r="H418" s="29" t="str">
        <f>IF(D418="Empty Row", "Empty Row",
   _xlfn.LET(
       _xlpm.lookupResult, _xlfn.XLOOKUP(D418, RawDataTable[Account Name and Number], RawDataTable[Valuation Amount], "MISSING VALUE"),
       IF(ISNUMBER(_xlpm.lookupResult), _xlpm.lookupResult, "INVALID VALUE")
   )
)</f>
        <v>Empty Row</v>
      </c>
      <c r="I418" s="2" t="str">
        <f>IF(D418="Empty Row", "Empty Row", IF(_xlfn.XLOOKUP(B418, MasterTable[IRA Custodian], MasterTable[Address], "")="", "NO STREET NAME FOUND", _xlfn.XLOOKUP(B418, MasterTable[IRA Custodian], MasterTable[Address], "")))</f>
        <v>Empty Row</v>
      </c>
      <c r="J418" s="2" t="str">
        <f>IF(D418="Empty Row", "Empty Row",
   IF(OR(
       _xlfn.XLOOKUP(B418, MasterTable[IRA Custodian], MasterTable[City], "")="",
       _xlfn.XLOOKUP(B418, MasterTable[IRA Custodian], MasterTable[State], "")="",
       _xlfn.XLOOKUP(B418, MasterTable[IRA Custodian], MasterTable[Zip], "")=""),
       "INCOMPLETE ADDRESS",
       _xlfn.CONCAT(
           _xlfn.XLOOKUP(B418, MasterTable[IRA Custodian], MasterTable[City], ""), ", ",
           _xlfn.XLOOKUP(B418, MasterTable[IRA Custodian], MasterTable[State], ""), " ",
           _xlfn.XLOOKUP(B418, MasterTable[IRA Custodian], MasterTable[Zip], "")
       )
   )
)</f>
        <v>Empty Row</v>
      </c>
    </row>
    <row r="419" spans="1:10" x14ac:dyDescent="0.25">
      <c r="A419" t="str">
        <f>IF(D419="Empty Row", "Empty Row",
   _xlfn.LET(
       _xlpm.lookupResult, _xlfn.XLOOKUP(D419, RawDataTable[Account Name and Number], RawDataTable[Entity], "RAW DATA MISSING"),
       IF(ISBLANK(_xlpm.lookupResult), "RAW DATA MISSING", _xlpm.lookupResult)
   )
)</f>
        <v>Empty Row</v>
      </c>
      <c r="B419" t="str">
        <f>IF(D419="Empty Row", "Empty Row",
   _xlfn.LET(
       _xlpm.rawDataLookup, _xlfn.XLOOKUP(D419,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19" s="56" t="str" cm="1">
        <f t="array" ref="C419">IF(D419="Empty Row", "Empty Row",
   IF(COUNTIF('Name Mapping'!H:AD, D419) &gt; 0,
      INDEX('Name Mapping'!F:F, MATCH(TRUE, MMULT(--('Name Mapping'!H:AD=D419), TRANSPOSE(COLUMN('Name Mapping'!H:AD)^0)) &gt; 0, 0)),
      "")
)</f>
        <v>Empty Row</v>
      </c>
      <c r="D419" t="str">
        <f>IF(RawDataTable[[#This Row],[Account Name and Number]]&lt;&gt;"", RawDataTable[[#This Row],[Account Name and Number]], "Empty Row")</f>
        <v>Empty Row</v>
      </c>
      <c r="E419" s="28" t="str">
        <f>IF(D419="Empty Row", "Empty Row",
   _xlfn.LET(
       _xlpm.lookupResult, _xlfn.XLOOKUP(D419, RawDataTable[Account Name and Number], RawDataTable[Investment Date], "MISSING VALUE"),
       IF(ISNUMBER(_xlpm.lookupResult), _xlpm.lookupResult, "INVALID VALUE")
   )
)</f>
        <v>Empty Row</v>
      </c>
      <c r="F419" s="29" t="str">
        <f>IF(D419="Empty Row", "Empty Row",
   _xlfn.LET(
       _xlpm.lookupResult, _xlfn.XLOOKUP(D419, RawDataTable[Account Name and Number], RawDataTable[Investment Amount], "MISSING VALUE"),
       IF(ISNUMBER(_xlpm.lookupResult), _xlpm.lookupResult, "INVALID VALUE")
   )
)</f>
        <v>Empty Row</v>
      </c>
      <c r="G419" s="28" t="str">
        <f t="shared" ca="1" si="6"/>
        <v>Empty Row</v>
      </c>
      <c r="H419" s="29" t="str">
        <f>IF(D419="Empty Row", "Empty Row",
   _xlfn.LET(
       _xlpm.lookupResult, _xlfn.XLOOKUP(D419, RawDataTable[Account Name and Number], RawDataTable[Valuation Amount], "MISSING VALUE"),
       IF(ISNUMBER(_xlpm.lookupResult), _xlpm.lookupResult, "INVALID VALUE")
   )
)</f>
        <v>Empty Row</v>
      </c>
      <c r="I419" s="2" t="str">
        <f>IF(D419="Empty Row", "Empty Row", IF(_xlfn.XLOOKUP(B419, MasterTable[IRA Custodian], MasterTable[Address], "")="", "NO STREET NAME FOUND", _xlfn.XLOOKUP(B419, MasterTable[IRA Custodian], MasterTable[Address], "")))</f>
        <v>Empty Row</v>
      </c>
      <c r="J419" s="2" t="str">
        <f>IF(D419="Empty Row", "Empty Row",
   IF(OR(
       _xlfn.XLOOKUP(B419, MasterTable[IRA Custodian], MasterTable[City], "")="",
       _xlfn.XLOOKUP(B419, MasterTable[IRA Custodian], MasterTable[State], "")="",
       _xlfn.XLOOKUP(B419, MasterTable[IRA Custodian], MasterTable[Zip], "")=""),
       "INCOMPLETE ADDRESS",
       _xlfn.CONCAT(
           _xlfn.XLOOKUP(B419, MasterTable[IRA Custodian], MasterTable[City], ""), ", ",
           _xlfn.XLOOKUP(B419, MasterTable[IRA Custodian], MasterTable[State], ""), " ",
           _xlfn.XLOOKUP(B419, MasterTable[IRA Custodian], MasterTable[Zip], "")
       )
   )
)</f>
        <v>Empty Row</v>
      </c>
    </row>
    <row r="420" spans="1:10" x14ac:dyDescent="0.25">
      <c r="A420" t="str">
        <f>IF(D420="Empty Row", "Empty Row",
   _xlfn.LET(
       _xlpm.lookupResult, _xlfn.XLOOKUP(D420, RawDataTable[Account Name and Number], RawDataTable[Entity], "RAW DATA MISSING"),
       IF(ISBLANK(_xlpm.lookupResult), "RAW DATA MISSING", _xlpm.lookupResult)
   )
)</f>
        <v>Empty Row</v>
      </c>
      <c r="B420" t="str">
        <f>IF(D420="Empty Row", "Empty Row",
   _xlfn.LET(
       _xlpm.rawDataLookup, _xlfn.XLOOKUP(D420,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20" s="56" t="str" cm="1">
        <f t="array" ref="C420">IF(D420="Empty Row", "Empty Row",
   IF(COUNTIF('Name Mapping'!H:AD, D420) &gt; 0,
      INDEX('Name Mapping'!F:F, MATCH(TRUE, MMULT(--('Name Mapping'!H:AD=D420), TRANSPOSE(COLUMN('Name Mapping'!H:AD)^0)) &gt; 0, 0)),
      "")
)</f>
        <v>Empty Row</v>
      </c>
      <c r="D420" t="str">
        <f>IF(RawDataTable[[#This Row],[Account Name and Number]]&lt;&gt;"", RawDataTable[[#This Row],[Account Name and Number]], "Empty Row")</f>
        <v>Empty Row</v>
      </c>
      <c r="E420" s="28" t="str">
        <f>IF(D420="Empty Row", "Empty Row",
   _xlfn.LET(
       _xlpm.lookupResult, _xlfn.XLOOKUP(D420, RawDataTable[Account Name and Number], RawDataTable[Investment Date], "MISSING VALUE"),
       IF(ISNUMBER(_xlpm.lookupResult), _xlpm.lookupResult, "INVALID VALUE")
   )
)</f>
        <v>Empty Row</v>
      </c>
      <c r="F420" s="29" t="str">
        <f>IF(D420="Empty Row", "Empty Row",
   _xlfn.LET(
       _xlpm.lookupResult, _xlfn.XLOOKUP(D420, RawDataTable[Account Name and Number], RawDataTable[Investment Amount], "MISSING VALUE"),
       IF(ISNUMBER(_xlpm.lookupResult), _xlpm.lookupResult, "INVALID VALUE")
   )
)</f>
        <v>Empty Row</v>
      </c>
      <c r="G420" s="28" t="str">
        <f t="shared" ca="1" si="6"/>
        <v>Empty Row</v>
      </c>
      <c r="H420" s="29" t="str">
        <f>IF(D420="Empty Row", "Empty Row",
   _xlfn.LET(
       _xlpm.lookupResult, _xlfn.XLOOKUP(D420, RawDataTable[Account Name and Number], RawDataTable[Valuation Amount], "MISSING VALUE"),
       IF(ISNUMBER(_xlpm.lookupResult), _xlpm.lookupResult, "INVALID VALUE")
   )
)</f>
        <v>Empty Row</v>
      </c>
      <c r="I420" s="2" t="str">
        <f>IF(D420="Empty Row", "Empty Row", IF(_xlfn.XLOOKUP(B420, MasterTable[IRA Custodian], MasterTable[Address], "")="", "NO STREET NAME FOUND", _xlfn.XLOOKUP(B420, MasterTable[IRA Custodian], MasterTable[Address], "")))</f>
        <v>Empty Row</v>
      </c>
      <c r="J420" s="2" t="str">
        <f>IF(D420="Empty Row", "Empty Row",
   IF(OR(
       _xlfn.XLOOKUP(B420, MasterTable[IRA Custodian], MasterTable[City], "")="",
       _xlfn.XLOOKUP(B420, MasterTable[IRA Custodian], MasterTable[State], "")="",
       _xlfn.XLOOKUP(B420, MasterTable[IRA Custodian], MasterTable[Zip], "")=""),
       "INCOMPLETE ADDRESS",
       _xlfn.CONCAT(
           _xlfn.XLOOKUP(B420, MasterTable[IRA Custodian], MasterTable[City], ""), ", ",
           _xlfn.XLOOKUP(B420, MasterTable[IRA Custodian], MasterTable[State], ""), " ",
           _xlfn.XLOOKUP(B420, MasterTable[IRA Custodian], MasterTable[Zip], "")
       )
   )
)</f>
        <v>Empty Row</v>
      </c>
    </row>
    <row r="421" spans="1:10" x14ac:dyDescent="0.25">
      <c r="A421" t="str">
        <f>IF(D421="Empty Row", "Empty Row",
   _xlfn.LET(
       _xlpm.lookupResult, _xlfn.XLOOKUP(D421, RawDataTable[Account Name and Number], RawDataTable[Entity], "RAW DATA MISSING"),
       IF(ISBLANK(_xlpm.lookupResult), "RAW DATA MISSING", _xlpm.lookupResult)
   )
)</f>
        <v>Empty Row</v>
      </c>
      <c r="B421" t="str">
        <f>IF(D421="Empty Row", "Empty Row",
   _xlfn.LET(
       _xlpm.rawDataLookup, _xlfn.XLOOKUP(D421,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21" s="56" t="str" cm="1">
        <f t="array" ref="C421">IF(D421="Empty Row", "Empty Row",
   IF(COUNTIF('Name Mapping'!H:AD, D421) &gt; 0,
      INDEX('Name Mapping'!F:F, MATCH(TRUE, MMULT(--('Name Mapping'!H:AD=D421), TRANSPOSE(COLUMN('Name Mapping'!H:AD)^0)) &gt; 0, 0)),
      "")
)</f>
        <v>Empty Row</v>
      </c>
      <c r="D421" t="str">
        <f>IF(RawDataTable[[#This Row],[Account Name and Number]]&lt;&gt;"", RawDataTable[[#This Row],[Account Name and Number]], "Empty Row")</f>
        <v>Empty Row</v>
      </c>
      <c r="E421" s="28" t="str">
        <f>IF(D421="Empty Row", "Empty Row",
   _xlfn.LET(
       _xlpm.lookupResult, _xlfn.XLOOKUP(D421, RawDataTable[Account Name and Number], RawDataTable[Investment Date], "MISSING VALUE"),
       IF(ISNUMBER(_xlpm.lookupResult), _xlpm.lookupResult, "INVALID VALUE")
   )
)</f>
        <v>Empty Row</v>
      </c>
      <c r="F421" s="29" t="str">
        <f>IF(D421="Empty Row", "Empty Row",
   _xlfn.LET(
       _xlpm.lookupResult, _xlfn.XLOOKUP(D421, RawDataTable[Account Name and Number], RawDataTable[Investment Amount], "MISSING VALUE"),
       IF(ISNUMBER(_xlpm.lookupResult), _xlpm.lookupResult, "INVALID VALUE")
   )
)</f>
        <v>Empty Row</v>
      </c>
      <c r="G421" s="28" t="str">
        <f t="shared" ca="1" si="6"/>
        <v>Empty Row</v>
      </c>
      <c r="H421" s="29" t="str">
        <f>IF(D421="Empty Row", "Empty Row",
   _xlfn.LET(
       _xlpm.lookupResult, _xlfn.XLOOKUP(D421, RawDataTable[Account Name and Number], RawDataTable[Valuation Amount], "MISSING VALUE"),
       IF(ISNUMBER(_xlpm.lookupResult), _xlpm.lookupResult, "INVALID VALUE")
   )
)</f>
        <v>Empty Row</v>
      </c>
      <c r="I421" s="2" t="str">
        <f>IF(D421="Empty Row", "Empty Row", IF(_xlfn.XLOOKUP(B421, MasterTable[IRA Custodian], MasterTable[Address], "")="", "NO STREET NAME FOUND", _xlfn.XLOOKUP(B421, MasterTable[IRA Custodian], MasterTable[Address], "")))</f>
        <v>Empty Row</v>
      </c>
      <c r="J421" s="2" t="str">
        <f>IF(D421="Empty Row", "Empty Row",
   IF(OR(
       _xlfn.XLOOKUP(B421, MasterTable[IRA Custodian], MasterTable[City], "")="",
       _xlfn.XLOOKUP(B421, MasterTable[IRA Custodian], MasterTable[State], "")="",
       _xlfn.XLOOKUP(B421, MasterTable[IRA Custodian], MasterTable[Zip], "")=""),
       "INCOMPLETE ADDRESS",
       _xlfn.CONCAT(
           _xlfn.XLOOKUP(B421, MasterTable[IRA Custodian], MasterTable[City], ""), ", ",
           _xlfn.XLOOKUP(B421, MasterTable[IRA Custodian], MasterTable[State], ""), " ",
           _xlfn.XLOOKUP(B421, MasterTable[IRA Custodian], MasterTable[Zip], "")
       )
   )
)</f>
        <v>Empty Row</v>
      </c>
    </row>
    <row r="422" spans="1:10" x14ac:dyDescent="0.25">
      <c r="A422" t="str">
        <f>IF(D422="Empty Row", "Empty Row",
   _xlfn.LET(
       _xlpm.lookupResult, _xlfn.XLOOKUP(D422, RawDataTable[Account Name and Number], RawDataTable[Entity], "RAW DATA MISSING"),
       IF(ISBLANK(_xlpm.lookupResult), "RAW DATA MISSING", _xlpm.lookupResult)
   )
)</f>
        <v>Empty Row</v>
      </c>
      <c r="B422" t="str">
        <f>IF(D422="Empty Row", "Empty Row",
   _xlfn.LET(
       _xlpm.rawDataLookup, _xlfn.XLOOKUP(D422,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22" s="56" t="str" cm="1">
        <f t="array" ref="C422">IF(D422="Empty Row", "Empty Row",
   IF(COUNTIF('Name Mapping'!H:AD, D422) &gt; 0,
      INDEX('Name Mapping'!F:F, MATCH(TRUE, MMULT(--('Name Mapping'!H:AD=D422), TRANSPOSE(COLUMN('Name Mapping'!H:AD)^0)) &gt; 0, 0)),
      "")
)</f>
        <v>Empty Row</v>
      </c>
      <c r="D422" t="str">
        <f>IF(RawDataTable[[#This Row],[Account Name and Number]]&lt;&gt;"", RawDataTable[[#This Row],[Account Name and Number]], "Empty Row")</f>
        <v>Empty Row</v>
      </c>
      <c r="E422" s="28" t="str">
        <f>IF(D422="Empty Row", "Empty Row",
   _xlfn.LET(
       _xlpm.lookupResult, _xlfn.XLOOKUP(D422, RawDataTable[Account Name and Number], RawDataTable[Investment Date], "MISSING VALUE"),
       IF(ISNUMBER(_xlpm.lookupResult), _xlpm.lookupResult, "INVALID VALUE")
   )
)</f>
        <v>Empty Row</v>
      </c>
      <c r="F422" s="29" t="str">
        <f>IF(D422="Empty Row", "Empty Row",
   _xlfn.LET(
       _xlpm.lookupResult, _xlfn.XLOOKUP(D422, RawDataTable[Account Name and Number], RawDataTable[Investment Amount], "MISSING VALUE"),
       IF(ISNUMBER(_xlpm.lookupResult), _xlpm.lookupResult, "INVALID VALUE")
   )
)</f>
        <v>Empty Row</v>
      </c>
      <c r="G422" s="28" t="str">
        <f t="shared" ca="1" si="6"/>
        <v>Empty Row</v>
      </c>
      <c r="H422" s="29" t="str">
        <f>IF(D422="Empty Row", "Empty Row",
   _xlfn.LET(
       _xlpm.lookupResult, _xlfn.XLOOKUP(D422, RawDataTable[Account Name and Number], RawDataTable[Valuation Amount], "MISSING VALUE"),
       IF(ISNUMBER(_xlpm.lookupResult), _xlpm.lookupResult, "INVALID VALUE")
   )
)</f>
        <v>Empty Row</v>
      </c>
      <c r="I422" s="2" t="str">
        <f>IF(D422="Empty Row", "Empty Row", IF(_xlfn.XLOOKUP(B422, MasterTable[IRA Custodian], MasterTable[Address], "")="", "NO STREET NAME FOUND", _xlfn.XLOOKUP(B422, MasterTable[IRA Custodian], MasterTable[Address], "")))</f>
        <v>Empty Row</v>
      </c>
      <c r="J422" s="2" t="str">
        <f>IF(D422="Empty Row", "Empty Row",
   IF(OR(
       _xlfn.XLOOKUP(B422, MasterTable[IRA Custodian], MasterTable[City], "")="",
       _xlfn.XLOOKUP(B422, MasterTable[IRA Custodian], MasterTable[State], "")="",
       _xlfn.XLOOKUP(B422, MasterTable[IRA Custodian], MasterTable[Zip], "")=""),
       "INCOMPLETE ADDRESS",
       _xlfn.CONCAT(
           _xlfn.XLOOKUP(B422, MasterTable[IRA Custodian], MasterTable[City], ""), ", ",
           _xlfn.XLOOKUP(B422, MasterTable[IRA Custodian], MasterTable[State], ""), " ",
           _xlfn.XLOOKUP(B422, MasterTable[IRA Custodian], MasterTable[Zip], "")
       )
   )
)</f>
        <v>Empty Row</v>
      </c>
    </row>
    <row r="423" spans="1:10" x14ac:dyDescent="0.25">
      <c r="A423" t="str">
        <f>IF(D423="Empty Row", "Empty Row",
   _xlfn.LET(
       _xlpm.lookupResult, _xlfn.XLOOKUP(D423, RawDataTable[Account Name and Number], RawDataTable[Entity], "RAW DATA MISSING"),
       IF(ISBLANK(_xlpm.lookupResult), "RAW DATA MISSING", _xlpm.lookupResult)
   )
)</f>
        <v>Empty Row</v>
      </c>
      <c r="B423" t="str">
        <f>IF(D423="Empty Row", "Empty Row",
   _xlfn.LET(
       _xlpm.rawDataLookup, _xlfn.XLOOKUP(D423,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23" s="56" t="str" cm="1">
        <f t="array" ref="C423">IF(D423="Empty Row", "Empty Row",
   IF(COUNTIF('Name Mapping'!H:AD, D423) &gt; 0,
      INDEX('Name Mapping'!F:F, MATCH(TRUE, MMULT(--('Name Mapping'!H:AD=D423), TRANSPOSE(COLUMN('Name Mapping'!H:AD)^0)) &gt; 0, 0)),
      "")
)</f>
        <v>Empty Row</v>
      </c>
      <c r="D423" t="str">
        <f>IF(RawDataTable[[#This Row],[Account Name and Number]]&lt;&gt;"", RawDataTable[[#This Row],[Account Name and Number]], "Empty Row")</f>
        <v>Empty Row</v>
      </c>
      <c r="E423" s="28" t="str">
        <f>IF(D423="Empty Row", "Empty Row",
   _xlfn.LET(
       _xlpm.lookupResult, _xlfn.XLOOKUP(D423, RawDataTable[Account Name and Number], RawDataTable[Investment Date], "MISSING VALUE"),
       IF(ISNUMBER(_xlpm.lookupResult), _xlpm.lookupResult, "INVALID VALUE")
   )
)</f>
        <v>Empty Row</v>
      </c>
      <c r="F423" s="29" t="str">
        <f>IF(D423="Empty Row", "Empty Row",
   _xlfn.LET(
       _xlpm.lookupResult, _xlfn.XLOOKUP(D423, RawDataTable[Account Name and Number], RawDataTable[Investment Amount], "MISSING VALUE"),
       IF(ISNUMBER(_xlpm.lookupResult), _xlpm.lookupResult, "INVALID VALUE")
   )
)</f>
        <v>Empty Row</v>
      </c>
      <c r="G423" s="28" t="str">
        <f t="shared" ca="1" si="6"/>
        <v>Empty Row</v>
      </c>
      <c r="H423" s="29" t="str">
        <f>IF(D423="Empty Row", "Empty Row",
   _xlfn.LET(
       _xlpm.lookupResult, _xlfn.XLOOKUP(D423, RawDataTable[Account Name and Number], RawDataTable[Valuation Amount], "MISSING VALUE"),
       IF(ISNUMBER(_xlpm.lookupResult), _xlpm.lookupResult, "INVALID VALUE")
   )
)</f>
        <v>Empty Row</v>
      </c>
      <c r="I423" s="2" t="str">
        <f>IF(D423="Empty Row", "Empty Row", IF(_xlfn.XLOOKUP(B423, MasterTable[IRA Custodian], MasterTable[Address], "")="", "NO STREET NAME FOUND", _xlfn.XLOOKUP(B423, MasterTable[IRA Custodian], MasterTable[Address], "")))</f>
        <v>Empty Row</v>
      </c>
      <c r="J423" s="2" t="str">
        <f>IF(D423="Empty Row", "Empty Row",
   IF(OR(
       _xlfn.XLOOKUP(B423, MasterTable[IRA Custodian], MasterTable[City], "")="",
       _xlfn.XLOOKUP(B423, MasterTable[IRA Custodian], MasterTable[State], "")="",
       _xlfn.XLOOKUP(B423, MasterTable[IRA Custodian], MasterTable[Zip], "")=""),
       "INCOMPLETE ADDRESS",
       _xlfn.CONCAT(
           _xlfn.XLOOKUP(B423, MasterTable[IRA Custodian], MasterTable[City], ""), ", ",
           _xlfn.XLOOKUP(B423, MasterTable[IRA Custodian], MasterTable[State], ""), " ",
           _xlfn.XLOOKUP(B423, MasterTable[IRA Custodian], MasterTable[Zip], "")
       )
   )
)</f>
        <v>Empty Row</v>
      </c>
    </row>
    <row r="424" spans="1:10" x14ac:dyDescent="0.25">
      <c r="A424" t="str">
        <f>IF(D424="Empty Row", "Empty Row",
   _xlfn.LET(
       _xlpm.lookupResult, _xlfn.XLOOKUP(D424, RawDataTable[Account Name and Number], RawDataTable[Entity], "RAW DATA MISSING"),
       IF(ISBLANK(_xlpm.lookupResult), "RAW DATA MISSING", _xlpm.lookupResult)
   )
)</f>
        <v>Empty Row</v>
      </c>
      <c r="B424" t="str">
        <f>IF(D424="Empty Row", "Empty Row",
   _xlfn.LET(
       _xlpm.rawDataLookup, _xlfn.XLOOKUP(D424,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24" s="56" t="str" cm="1">
        <f t="array" ref="C424">IF(D424="Empty Row", "Empty Row",
   IF(COUNTIF('Name Mapping'!H:AD, D424) &gt; 0,
      INDEX('Name Mapping'!F:F, MATCH(TRUE, MMULT(--('Name Mapping'!H:AD=D424), TRANSPOSE(COLUMN('Name Mapping'!H:AD)^0)) &gt; 0, 0)),
      "")
)</f>
        <v>Empty Row</v>
      </c>
      <c r="D424" t="str">
        <f>IF(RawDataTable[[#This Row],[Account Name and Number]]&lt;&gt;"", RawDataTable[[#This Row],[Account Name and Number]], "Empty Row")</f>
        <v>Empty Row</v>
      </c>
      <c r="E424" s="28" t="str">
        <f>IF(D424="Empty Row", "Empty Row",
   _xlfn.LET(
       _xlpm.lookupResult, _xlfn.XLOOKUP(D424, RawDataTable[Account Name and Number], RawDataTable[Investment Date], "MISSING VALUE"),
       IF(ISNUMBER(_xlpm.lookupResult), _xlpm.lookupResult, "INVALID VALUE")
   )
)</f>
        <v>Empty Row</v>
      </c>
      <c r="F424" s="29" t="str">
        <f>IF(D424="Empty Row", "Empty Row",
   _xlfn.LET(
       _xlpm.lookupResult, _xlfn.XLOOKUP(D424, RawDataTable[Account Name and Number], RawDataTable[Investment Amount], "MISSING VALUE"),
       IF(ISNUMBER(_xlpm.lookupResult), _xlpm.lookupResult, "INVALID VALUE")
   )
)</f>
        <v>Empty Row</v>
      </c>
      <c r="G424" s="28" t="str">
        <f t="shared" ca="1" si="6"/>
        <v>Empty Row</v>
      </c>
      <c r="H424" s="29" t="str">
        <f>IF(D424="Empty Row", "Empty Row",
   _xlfn.LET(
       _xlpm.lookupResult, _xlfn.XLOOKUP(D424, RawDataTable[Account Name and Number], RawDataTable[Valuation Amount], "MISSING VALUE"),
       IF(ISNUMBER(_xlpm.lookupResult), _xlpm.lookupResult, "INVALID VALUE")
   )
)</f>
        <v>Empty Row</v>
      </c>
      <c r="I424" s="2" t="str">
        <f>IF(D424="Empty Row", "Empty Row", IF(_xlfn.XLOOKUP(B424, MasterTable[IRA Custodian], MasterTable[Address], "")="", "NO STREET NAME FOUND", _xlfn.XLOOKUP(B424, MasterTable[IRA Custodian], MasterTable[Address], "")))</f>
        <v>Empty Row</v>
      </c>
      <c r="J424" s="2" t="str">
        <f>IF(D424="Empty Row", "Empty Row",
   IF(OR(
       _xlfn.XLOOKUP(B424, MasterTable[IRA Custodian], MasterTable[City], "")="",
       _xlfn.XLOOKUP(B424, MasterTable[IRA Custodian], MasterTable[State], "")="",
       _xlfn.XLOOKUP(B424, MasterTable[IRA Custodian], MasterTable[Zip], "")=""),
       "INCOMPLETE ADDRESS",
       _xlfn.CONCAT(
           _xlfn.XLOOKUP(B424, MasterTable[IRA Custodian], MasterTable[City], ""), ", ",
           _xlfn.XLOOKUP(B424, MasterTable[IRA Custodian], MasterTable[State], ""), " ",
           _xlfn.XLOOKUP(B424, MasterTable[IRA Custodian], MasterTable[Zip], "")
       )
   )
)</f>
        <v>Empty Row</v>
      </c>
    </row>
    <row r="425" spans="1:10" x14ac:dyDescent="0.25">
      <c r="A425" t="str">
        <f>IF(D425="Empty Row", "Empty Row",
   _xlfn.LET(
       _xlpm.lookupResult, _xlfn.XLOOKUP(D425, RawDataTable[Account Name and Number], RawDataTable[Entity], "RAW DATA MISSING"),
       IF(ISBLANK(_xlpm.lookupResult), "RAW DATA MISSING", _xlpm.lookupResult)
   )
)</f>
        <v>Empty Row</v>
      </c>
      <c r="B425" t="str">
        <f>IF(D425="Empty Row", "Empty Row",
   _xlfn.LET(
       _xlpm.rawDataLookup, _xlfn.XLOOKUP(D425,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25" s="56" t="str" cm="1">
        <f t="array" ref="C425">IF(D425="Empty Row", "Empty Row",
   IF(COUNTIF('Name Mapping'!H:AD, D425) &gt; 0,
      INDEX('Name Mapping'!F:F, MATCH(TRUE, MMULT(--('Name Mapping'!H:AD=D425), TRANSPOSE(COLUMN('Name Mapping'!H:AD)^0)) &gt; 0, 0)),
      "")
)</f>
        <v>Empty Row</v>
      </c>
      <c r="D425" t="str">
        <f>IF(RawDataTable[[#This Row],[Account Name and Number]]&lt;&gt;"", RawDataTable[[#This Row],[Account Name and Number]], "Empty Row")</f>
        <v>Empty Row</v>
      </c>
      <c r="E425" s="28" t="str">
        <f>IF(D425="Empty Row", "Empty Row",
   _xlfn.LET(
       _xlpm.lookupResult, _xlfn.XLOOKUP(D425, RawDataTable[Account Name and Number], RawDataTable[Investment Date], "MISSING VALUE"),
       IF(ISNUMBER(_xlpm.lookupResult), _xlpm.lookupResult, "INVALID VALUE")
   )
)</f>
        <v>Empty Row</v>
      </c>
      <c r="F425" s="29" t="str">
        <f>IF(D425="Empty Row", "Empty Row",
   _xlfn.LET(
       _xlpm.lookupResult, _xlfn.XLOOKUP(D425, RawDataTable[Account Name and Number], RawDataTable[Investment Amount], "MISSING VALUE"),
       IF(ISNUMBER(_xlpm.lookupResult), _xlpm.lookupResult, "INVALID VALUE")
   )
)</f>
        <v>Empty Row</v>
      </c>
      <c r="G425" s="28" t="str">
        <f t="shared" ca="1" si="6"/>
        <v>Empty Row</v>
      </c>
      <c r="H425" s="29" t="str">
        <f>IF(D425="Empty Row", "Empty Row",
   _xlfn.LET(
       _xlpm.lookupResult, _xlfn.XLOOKUP(D425, RawDataTable[Account Name and Number], RawDataTable[Valuation Amount], "MISSING VALUE"),
       IF(ISNUMBER(_xlpm.lookupResult), _xlpm.lookupResult, "INVALID VALUE")
   )
)</f>
        <v>Empty Row</v>
      </c>
      <c r="I425" s="2" t="str">
        <f>IF(D425="Empty Row", "Empty Row", IF(_xlfn.XLOOKUP(B425, MasterTable[IRA Custodian], MasterTable[Address], "")="", "NO STREET NAME FOUND", _xlfn.XLOOKUP(B425, MasterTable[IRA Custodian], MasterTable[Address], "")))</f>
        <v>Empty Row</v>
      </c>
      <c r="J425" s="2" t="str">
        <f>IF(D425="Empty Row", "Empty Row",
   IF(OR(
       _xlfn.XLOOKUP(B425, MasterTable[IRA Custodian], MasterTable[City], "")="",
       _xlfn.XLOOKUP(B425, MasterTable[IRA Custodian], MasterTable[State], "")="",
       _xlfn.XLOOKUP(B425, MasterTable[IRA Custodian], MasterTable[Zip], "")=""),
       "INCOMPLETE ADDRESS",
       _xlfn.CONCAT(
           _xlfn.XLOOKUP(B425, MasterTable[IRA Custodian], MasterTable[City], ""), ", ",
           _xlfn.XLOOKUP(B425, MasterTable[IRA Custodian], MasterTable[State], ""), " ",
           _xlfn.XLOOKUP(B425, MasterTable[IRA Custodian], MasterTable[Zip], "")
       )
   )
)</f>
        <v>Empty Row</v>
      </c>
    </row>
    <row r="426" spans="1:10" x14ac:dyDescent="0.25">
      <c r="A426" t="str">
        <f>IF(D426="Empty Row", "Empty Row",
   _xlfn.LET(
       _xlpm.lookupResult, _xlfn.XLOOKUP(D426, RawDataTable[Account Name and Number], RawDataTable[Entity], "RAW DATA MISSING"),
       IF(ISBLANK(_xlpm.lookupResult), "RAW DATA MISSING", _xlpm.lookupResult)
   )
)</f>
        <v>Empty Row</v>
      </c>
      <c r="B426" t="str">
        <f>IF(D426="Empty Row", "Empty Row",
   _xlfn.LET(
       _xlpm.rawDataLookup, _xlfn.XLOOKUP(D426,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26" s="56" t="str" cm="1">
        <f t="array" ref="C426">IF(D426="Empty Row", "Empty Row",
   IF(COUNTIF('Name Mapping'!H:AD, D426) &gt; 0,
      INDEX('Name Mapping'!F:F, MATCH(TRUE, MMULT(--('Name Mapping'!H:AD=D426), TRANSPOSE(COLUMN('Name Mapping'!H:AD)^0)) &gt; 0, 0)),
      "")
)</f>
        <v>Empty Row</v>
      </c>
      <c r="D426" t="str">
        <f>IF(RawDataTable[[#This Row],[Account Name and Number]]&lt;&gt;"", RawDataTable[[#This Row],[Account Name and Number]], "Empty Row")</f>
        <v>Empty Row</v>
      </c>
      <c r="E426" s="28" t="str">
        <f>IF(D426="Empty Row", "Empty Row",
   _xlfn.LET(
       _xlpm.lookupResult, _xlfn.XLOOKUP(D426, RawDataTable[Account Name and Number], RawDataTable[Investment Date], "MISSING VALUE"),
       IF(ISNUMBER(_xlpm.lookupResult), _xlpm.lookupResult, "INVALID VALUE")
   )
)</f>
        <v>Empty Row</v>
      </c>
      <c r="F426" s="29" t="str">
        <f>IF(D426="Empty Row", "Empty Row",
   _xlfn.LET(
       _xlpm.lookupResult, _xlfn.XLOOKUP(D426, RawDataTable[Account Name and Number], RawDataTable[Investment Amount], "MISSING VALUE"),
       IF(ISNUMBER(_xlpm.lookupResult), _xlpm.lookupResult, "INVALID VALUE")
   )
)</f>
        <v>Empty Row</v>
      </c>
      <c r="G426" s="28" t="str">
        <f t="shared" ca="1" si="6"/>
        <v>Empty Row</v>
      </c>
      <c r="H426" s="29" t="str">
        <f>IF(D426="Empty Row", "Empty Row",
   _xlfn.LET(
       _xlpm.lookupResult, _xlfn.XLOOKUP(D426, RawDataTable[Account Name and Number], RawDataTable[Valuation Amount], "MISSING VALUE"),
       IF(ISNUMBER(_xlpm.lookupResult), _xlpm.lookupResult, "INVALID VALUE")
   )
)</f>
        <v>Empty Row</v>
      </c>
      <c r="I426" s="2" t="str">
        <f>IF(D426="Empty Row", "Empty Row", IF(_xlfn.XLOOKUP(B426, MasterTable[IRA Custodian], MasterTable[Address], "")="", "NO STREET NAME FOUND", _xlfn.XLOOKUP(B426, MasterTable[IRA Custodian], MasterTable[Address], "")))</f>
        <v>Empty Row</v>
      </c>
      <c r="J426" s="2" t="str">
        <f>IF(D426="Empty Row", "Empty Row",
   IF(OR(
       _xlfn.XLOOKUP(B426, MasterTable[IRA Custodian], MasterTable[City], "")="",
       _xlfn.XLOOKUP(B426, MasterTable[IRA Custodian], MasterTable[State], "")="",
       _xlfn.XLOOKUP(B426, MasterTable[IRA Custodian], MasterTable[Zip], "")=""),
       "INCOMPLETE ADDRESS",
       _xlfn.CONCAT(
           _xlfn.XLOOKUP(B426, MasterTable[IRA Custodian], MasterTable[City], ""), ", ",
           _xlfn.XLOOKUP(B426, MasterTable[IRA Custodian], MasterTable[State], ""), " ",
           _xlfn.XLOOKUP(B426, MasterTable[IRA Custodian], MasterTable[Zip], "")
       )
   )
)</f>
        <v>Empty Row</v>
      </c>
    </row>
    <row r="427" spans="1:10" x14ac:dyDescent="0.25">
      <c r="A427" t="str">
        <f>IF(D427="Empty Row", "Empty Row",
   _xlfn.LET(
       _xlpm.lookupResult, _xlfn.XLOOKUP(D427, RawDataTable[Account Name and Number], RawDataTable[Entity], "RAW DATA MISSING"),
       IF(ISBLANK(_xlpm.lookupResult), "RAW DATA MISSING", _xlpm.lookupResult)
   )
)</f>
        <v>Empty Row</v>
      </c>
      <c r="B427" t="str">
        <f>IF(D427="Empty Row", "Empty Row",
   _xlfn.LET(
       _xlpm.rawDataLookup, _xlfn.XLOOKUP(D427,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27" s="56" t="str" cm="1">
        <f t="array" ref="C427">IF(D427="Empty Row", "Empty Row",
   IF(COUNTIF('Name Mapping'!H:AD, D427) &gt; 0,
      INDEX('Name Mapping'!F:F, MATCH(TRUE, MMULT(--('Name Mapping'!H:AD=D427), TRANSPOSE(COLUMN('Name Mapping'!H:AD)^0)) &gt; 0, 0)),
      "")
)</f>
        <v>Empty Row</v>
      </c>
      <c r="D427" t="str">
        <f>IF(RawDataTable[[#This Row],[Account Name and Number]]&lt;&gt;"", RawDataTable[[#This Row],[Account Name and Number]], "Empty Row")</f>
        <v>Empty Row</v>
      </c>
      <c r="E427" s="28" t="str">
        <f>IF(D427="Empty Row", "Empty Row",
   _xlfn.LET(
       _xlpm.lookupResult, _xlfn.XLOOKUP(D427, RawDataTable[Account Name and Number], RawDataTable[Investment Date], "MISSING VALUE"),
       IF(ISNUMBER(_xlpm.lookupResult), _xlpm.lookupResult, "INVALID VALUE")
   )
)</f>
        <v>Empty Row</v>
      </c>
      <c r="F427" s="29" t="str">
        <f>IF(D427="Empty Row", "Empty Row",
   _xlfn.LET(
       _xlpm.lookupResult, _xlfn.XLOOKUP(D427, RawDataTable[Account Name and Number], RawDataTable[Investment Amount], "MISSING VALUE"),
       IF(ISNUMBER(_xlpm.lookupResult), _xlpm.lookupResult, "INVALID VALUE")
   )
)</f>
        <v>Empty Row</v>
      </c>
      <c r="G427" s="28" t="str">
        <f t="shared" ca="1" si="6"/>
        <v>Empty Row</v>
      </c>
      <c r="H427" s="29" t="str">
        <f>IF(D427="Empty Row", "Empty Row",
   _xlfn.LET(
       _xlpm.lookupResult, _xlfn.XLOOKUP(D427, RawDataTable[Account Name and Number], RawDataTable[Valuation Amount], "MISSING VALUE"),
       IF(ISNUMBER(_xlpm.lookupResult), _xlpm.lookupResult, "INVALID VALUE")
   )
)</f>
        <v>Empty Row</v>
      </c>
      <c r="I427" s="2" t="str">
        <f>IF(D427="Empty Row", "Empty Row", IF(_xlfn.XLOOKUP(B427, MasterTable[IRA Custodian], MasterTable[Address], "")="", "NO STREET NAME FOUND", _xlfn.XLOOKUP(B427, MasterTable[IRA Custodian], MasterTable[Address], "")))</f>
        <v>Empty Row</v>
      </c>
      <c r="J427" s="2" t="str">
        <f>IF(D427="Empty Row", "Empty Row",
   IF(OR(
       _xlfn.XLOOKUP(B427, MasterTable[IRA Custodian], MasterTable[City], "")="",
       _xlfn.XLOOKUP(B427, MasterTable[IRA Custodian], MasterTable[State], "")="",
       _xlfn.XLOOKUP(B427, MasterTable[IRA Custodian], MasterTable[Zip], "")=""),
       "INCOMPLETE ADDRESS",
       _xlfn.CONCAT(
           _xlfn.XLOOKUP(B427, MasterTable[IRA Custodian], MasterTable[City], ""), ", ",
           _xlfn.XLOOKUP(B427, MasterTable[IRA Custodian], MasterTable[State], ""), " ",
           _xlfn.XLOOKUP(B427, MasterTable[IRA Custodian], MasterTable[Zip], "")
       )
   )
)</f>
        <v>Empty Row</v>
      </c>
    </row>
    <row r="428" spans="1:10" x14ac:dyDescent="0.25">
      <c r="A428" t="str">
        <f>IF(D428="Empty Row", "Empty Row",
   _xlfn.LET(
       _xlpm.lookupResult, _xlfn.XLOOKUP(D428, RawDataTable[Account Name and Number], RawDataTable[Entity], "RAW DATA MISSING"),
       IF(ISBLANK(_xlpm.lookupResult), "RAW DATA MISSING", _xlpm.lookupResult)
   )
)</f>
        <v>Empty Row</v>
      </c>
      <c r="B428" t="str">
        <f>IF(D428="Empty Row", "Empty Row",
   _xlfn.LET(
       _xlpm.rawDataLookup, _xlfn.XLOOKUP(D428,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28" s="56" t="str" cm="1">
        <f t="array" ref="C428">IF(D428="Empty Row", "Empty Row",
   IF(COUNTIF('Name Mapping'!H:AD, D428) &gt; 0,
      INDEX('Name Mapping'!F:F, MATCH(TRUE, MMULT(--('Name Mapping'!H:AD=D428), TRANSPOSE(COLUMN('Name Mapping'!H:AD)^0)) &gt; 0, 0)),
      "")
)</f>
        <v>Empty Row</v>
      </c>
      <c r="D428" t="str">
        <f>IF(RawDataTable[[#This Row],[Account Name and Number]]&lt;&gt;"", RawDataTable[[#This Row],[Account Name and Number]], "Empty Row")</f>
        <v>Empty Row</v>
      </c>
      <c r="E428" s="28" t="str">
        <f>IF(D428="Empty Row", "Empty Row",
   _xlfn.LET(
       _xlpm.lookupResult, _xlfn.XLOOKUP(D428, RawDataTable[Account Name and Number], RawDataTable[Investment Date], "MISSING VALUE"),
       IF(ISNUMBER(_xlpm.lookupResult), _xlpm.lookupResult, "INVALID VALUE")
   )
)</f>
        <v>Empty Row</v>
      </c>
      <c r="F428" s="29" t="str">
        <f>IF(D428="Empty Row", "Empty Row",
   _xlfn.LET(
       _xlpm.lookupResult, _xlfn.XLOOKUP(D428, RawDataTable[Account Name and Number], RawDataTable[Investment Amount], "MISSING VALUE"),
       IF(ISNUMBER(_xlpm.lookupResult), _xlpm.lookupResult, "INVALID VALUE")
   )
)</f>
        <v>Empty Row</v>
      </c>
      <c r="G428" s="28" t="str">
        <f t="shared" ca="1" si="6"/>
        <v>Empty Row</v>
      </c>
      <c r="H428" s="29" t="str">
        <f>IF(D428="Empty Row", "Empty Row",
   _xlfn.LET(
       _xlpm.lookupResult, _xlfn.XLOOKUP(D428, RawDataTable[Account Name and Number], RawDataTable[Valuation Amount], "MISSING VALUE"),
       IF(ISNUMBER(_xlpm.lookupResult), _xlpm.lookupResult, "INVALID VALUE")
   )
)</f>
        <v>Empty Row</v>
      </c>
      <c r="I428" s="2" t="str">
        <f>IF(D428="Empty Row", "Empty Row", IF(_xlfn.XLOOKUP(B428, MasterTable[IRA Custodian], MasterTable[Address], "")="", "NO STREET NAME FOUND", _xlfn.XLOOKUP(B428, MasterTable[IRA Custodian], MasterTable[Address], "")))</f>
        <v>Empty Row</v>
      </c>
      <c r="J428" s="2" t="str">
        <f>IF(D428="Empty Row", "Empty Row",
   IF(OR(
       _xlfn.XLOOKUP(B428, MasterTable[IRA Custodian], MasterTable[City], "")="",
       _xlfn.XLOOKUP(B428, MasterTable[IRA Custodian], MasterTable[State], "")="",
       _xlfn.XLOOKUP(B428, MasterTable[IRA Custodian], MasterTable[Zip], "")=""),
       "INCOMPLETE ADDRESS",
       _xlfn.CONCAT(
           _xlfn.XLOOKUP(B428, MasterTable[IRA Custodian], MasterTable[City], ""), ", ",
           _xlfn.XLOOKUP(B428, MasterTable[IRA Custodian], MasterTable[State], ""), " ",
           _xlfn.XLOOKUP(B428, MasterTable[IRA Custodian], MasterTable[Zip], "")
       )
   )
)</f>
        <v>Empty Row</v>
      </c>
    </row>
    <row r="429" spans="1:10" x14ac:dyDescent="0.25">
      <c r="A429" t="str">
        <f>IF(D429="Empty Row", "Empty Row",
   _xlfn.LET(
       _xlpm.lookupResult, _xlfn.XLOOKUP(D429, RawDataTable[Account Name and Number], RawDataTable[Entity], "RAW DATA MISSING"),
       IF(ISBLANK(_xlpm.lookupResult), "RAW DATA MISSING", _xlpm.lookupResult)
   )
)</f>
        <v>Empty Row</v>
      </c>
      <c r="B429" t="str">
        <f>IF(D429="Empty Row", "Empty Row",
   _xlfn.LET(
       _xlpm.rawDataLookup, _xlfn.XLOOKUP(D429,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29" s="56" t="str" cm="1">
        <f t="array" ref="C429">IF(D429="Empty Row", "Empty Row",
   IF(COUNTIF('Name Mapping'!H:AD, D429) &gt; 0,
      INDEX('Name Mapping'!F:F, MATCH(TRUE, MMULT(--('Name Mapping'!H:AD=D429), TRANSPOSE(COLUMN('Name Mapping'!H:AD)^0)) &gt; 0, 0)),
      "")
)</f>
        <v>Empty Row</v>
      </c>
      <c r="D429" t="str">
        <f>IF(RawDataTable[[#This Row],[Account Name and Number]]&lt;&gt;"", RawDataTable[[#This Row],[Account Name and Number]], "Empty Row")</f>
        <v>Empty Row</v>
      </c>
      <c r="E429" s="28" t="str">
        <f>IF(D429="Empty Row", "Empty Row",
   _xlfn.LET(
       _xlpm.lookupResult, _xlfn.XLOOKUP(D429, RawDataTable[Account Name and Number], RawDataTable[Investment Date], "MISSING VALUE"),
       IF(ISNUMBER(_xlpm.lookupResult), _xlpm.lookupResult, "INVALID VALUE")
   )
)</f>
        <v>Empty Row</v>
      </c>
      <c r="F429" s="29" t="str">
        <f>IF(D429="Empty Row", "Empty Row",
   _xlfn.LET(
       _xlpm.lookupResult, _xlfn.XLOOKUP(D429, RawDataTable[Account Name and Number], RawDataTable[Investment Amount], "MISSING VALUE"),
       IF(ISNUMBER(_xlpm.lookupResult), _xlpm.lookupResult, "INVALID VALUE")
   )
)</f>
        <v>Empty Row</v>
      </c>
      <c r="G429" s="28" t="str">
        <f t="shared" ca="1" si="6"/>
        <v>Empty Row</v>
      </c>
      <c r="H429" s="29" t="str">
        <f>IF(D429="Empty Row", "Empty Row",
   _xlfn.LET(
       _xlpm.lookupResult, _xlfn.XLOOKUP(D429, RawDataTable[Account Name and Number], RawDataTable[Valuation Amount], "MISSING VALUE"),
       IF(ISNUMBER(_xlpm.lookupResult), _xlpm.lookupResult, "INVALID VALUE")
   )
)</f>
        <v>Empty Row</v>
      </c>
      <c r="I429" s="2" t="str">
        <f>IF(D429="Empty Row", "Empty Row", IF(_xlfn.XLOOKUP(B429, MasterTable[IRA Custodian], MasterTable[Address], "")="", "NO STREET NAME FOUND", _xlfn.XLOOKUP(B429, MasterTable[IRA Custodian], MasterTable[Address], "")))</f>
        <v>Empty Row</v>
      </c>
      <c r="J429" s="2" t="str">
        <f>IF(D429="Empty Row", "Empty Row",
   IF(OR(
       _xlfn.XLOOKUP(B429, MasterTable[IRA Custodian], MasterTable[City], "")="",
       _xlfn.XLOOKUP(B429, MasterTable[IRA Custodian], MasterTable[State], "")="",
       _xlfn.XLOOKUP(B429, MasterTable[IRA Custodian], MasterTable[Zip], "")=""),
       "INCOMPLETE ADDRESS",
       _xlfn.CONCAT(
           _xlfn.XLOOKUP(B429, MasterTable[IRA Custodian], MasterTable[City], ""), ", ",
           _xlfn.XLOOKUP(B429, MasterTable[IRA Custodian], MasterTable[State], ""), " ",
           _xlfn.XLOOKUP(B429, MasterTable[IRA Custodian], MasterTable[Zip], "")
       )
   )
)</f>
        <v>Empty Row</v>
      </c>
    </row>
    <row r="430" spans="1:10" x14ac:dyDescent="0.25">
      <c r="A430" t="str">
        <f>IF(D430="Empty Row", "Empty Row",
   _xlfn.LET(
       _xlpm.lookupResult, _xlfn.XLOOKUP(D430, RawDataTable[Account Name and Number], RawDataTable[Entity], "RAW DATA MISSING"),
       IF(ISBLANK(_xlpm.lookupResult), "RAW DATA MISSING", _xlpm.lookupResult)
   )
)</f>
        <v>Empty Row</v>
      </c>
      <c r="B430" t="str">
        <f>IF(D430="Empty Row", "Empty Row",
   _xlfn.LET(
       _xlpm.rawDataLookup, _xlfn.XLOOKUP(D430,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30" s="56" t="str" cm="1">
        <f t="array" ref="C430">IF(D430="Empty Row", "Empty Row",
   IF(COUNTIF('Name Mapping'!H:AD, D430) &gt; 0,
      INDEX('Name Mapping'!F:F, MATCH(TRUE, MMULT(--('Name Mapping'!H:AD=D430), TRANSPOSE(COLUMN('Name Mapping'!H:AD)^0)) &gt; 0, 0)),
      "")
)</f>
        <v>Empty Row</v>
      </c>
      <c r="D430" t="str">
        <f>IF(RawDataTable[[#This Row],[Account Name and Number]]&lt;&gt;"", RawDataTable[[#This Row],[Account Name and Number]], "Empty Row")</f>
        <v>Empty Row</v>
      </c>
      <c r="E430" s="28" t="str">
        <f>IF(D430="Empty Row", "Empty Row",
   _xlfn.LET(
       _xlpm.lookupResult, _xlfn.XLOOKUP(D430, RawDataTable[Account Name and Number], RawDataTable[Investment Date], "MISSING VALUE"),
       IF(ISNUMBER(_xlpm.lookupResult), _xlpm.lookupResult, "INVALID VALUE")
   )
)</f>
        <v>Empty Row</v>
      </c>
      <c r="F430" s="29" t="str">
        <f>IF(D430="Empty Row", "Empty Row",
   _xlfn.LET(
       _xlpm.lookupResult, _xlfn.XLOOKUP(D430, RawDataTable[Account Name and Number], RawDataTable[Investment Amount], "MISSING VALUE"),
       IF(ISNUMBER(_xlpm.lookupResult), _xlpm.lookupResult, "INVALID VALUE")
   )
)</f>
        <v>Empty Row</v>
      </c>
      <c r="G430" s="28" t="str">
        <f t="shared" ca="1" si="6"/>
        <v>Empty Row</v>
      </c>
      <c r="H430" s="29" t="str">
        <f>IF(D430="Empty Row", "Empty Row",
   _xlfn.LET(
       _xlpm.lookupResult, _xlfn.XLOOKUP(D430, RawDataTable[Account Name and Number], RawDataTable[Valuation Amount], "MISSING VALUE"),
       IF(ISNUMBER(_xlpm.lookupResult), _xlpm.lookupResult, "INVALID VALUE")
   )
)</f>
        <v>Empty Row</v>
      </c>
      <c r="I430" s="2" t="str">
        <f>IF(D430="Empty Row", "Empty Row", IF(_xlfn.XLOOKUP(B430, MasterTable[IRA Custodian], MasterTable[Address], "")="", "NO STREET NAME FOUND", _xlfn.XLOOKUP(B430, MasterTable[IRA Custodian], MasterTable[Address], "")))</f>
        <v>Empty Row</v>
      </c>
      <c r="J430" s="2" t="str">
        <f>IF(D430="Empty Row", "Empty Row",
   IF(OR(
       _xlfn.XLOOKUP(B430, MasterTable[IRA Custodian], MasterTable[City], "")="",
       _xlfn.XLOOKUP(B430, MasterTable[IRA Custodian], MasterTable[State], "")="",
       _xlfn.XLOOKUP(B430, MasterTable[IRA Custodian], MasterTable[Zip], "")=""),
       "INCOMPLETE ADDRESS",
       _xlfn.CONCAT(
           _xlfn.XLOOKUP(B430, MasterTable[IRA Custodian], MasterTable[City], ""), ", ",
           _xlfn.XLOOKUP(B430, MasterTable[IRA Custodian], MasterTable[State], ""), " ",
           _xlfn.XLOOKUP(B430, MasterTable[IRA Custodian], MasterTable[Zip], "")
       )
   )
)</f>
        <v>Empty Row</v>
      </c>
    </row>
    <row r="431" spans="1:10" x14ac:dyDescent="0.25">
      <c r="A431" t="str">
        <f>IF(D431="Empty Row", "Empty Row",
   _xlfn.LET(
       _xlpm.lookupResult, _xlfn.XLOOKUP(D431, RawDataTable[Account Name and Number], RawDataTable[Entity], "RAW DATA MISSING"),
       IF(ISBLANK(_xlpm.lookupResult), "RAW DATA MISSING", _xlpm.lookupResult)
   )
)</f>
        <v>Empty Row</v>
      </c>
      <c r="B431" t="str">
        <f>IF(D431="Empty Row", "Empty Row",
   _xlfn.LET(
       _xlpm.rawDataLookup, _xlfn.XLOOKUP(D431,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31" s="56" t="str" cm="1">
        <f t="array" ref="C431">IF(D431="Empty Row", "Empty Row",
   IF(COUNTIF('Name Mapping'!H:AD, D431) &gt; 0,
      INDEX('Name Mapping'!F:F, MATCH(TRUE, MMULT(--('Name Mapping'!H:AD=D431), TRANSPOSE(COLUMN('Name Mapping'!H:AD)^0)) &gt; 0, 0)),
      "")
)</f>
        <v>Empty Row</v>
      </c>
      <c r="D431" t="str">
        <f>IF(RawDataTable[[#This Row],[Account Name and Number]]&lt;&gt;"", RawDataTable[[#This Row],[Account Name and Number]], "Empty Row")</f>
        <v>Empty Row</v>
      </c>
      <c r="E431" s="28" t="str">
        <f>IF(D431="Empty Row", "Empty Row",
   _xlfn.LET(
       _xlpm.lookupResult, _xlfn.XLOOKUP(D431, RawDataTable[Account Name and Number], RawDataTable[Investment Date], "MISSING VALUE"),
       IF(ISNUMBER(_xlpm.lookupResult), _xlpm.lookupResult, "INVALID VALUE")
   )
)</f>
        <v>Empty Row</v>
      </c>
      <c r="F431" s="29" t="str">
        <f>IF(D431="Empty Row", "Empty Row",
   _xlfn.LET(
       _xlpm.lookupResult, _xlfn.XLOOKUP(D431, RawDataTable[Account Name and Number], RawDataTable[Investment Amount], "MISSING VALUE"),
       IF(ISNUMBER(_xlpm.lookupResult), _xlpm.lookupResult, "INVALID VALUE")
   )
)</f>
        <v>Empty Row</v>
      </c>
      <c r="G431" s="28" t="str">
        <f t="shared" ca="1" si="6"/>
        <v>Empty Row</v>
      </c>
      <c r="H431" s="29" t="str">
        <f>IF(D431="Empty Row", "Empty Row",
   _xlfn.LET(
       _xlpm.lookupResult, _xlfn.XLOOKUP(D431, RawDataTable[Account Name and Number], RawDataTable[Valuation Amount], "MISSING VALUE"),
       IF(ISNUMBER(_xlpm.lookupResult), _xlpm.lookupResult, "INVALID VALUE")
   )
)</f>
        <v>Empty Row</v>
      </c>
      <c r="I431" s="2" t="str">
        <f>IF(D431="Empty Row", "Empty Row", IF(_xlfn.XLOOKUP(B431, MasterTable[IRA Custodian], MasterTable[Address], "")="", "NO STREET NAME FOUND", _xlfn.XLOOKUP(B431, MasterTable[IRA Custodian], MasterTable[Address], "")))</f>
        <v>Empty Row</v>
      </c>
      <c r="J431" s="2" t="str">
        <f>IF(D431="Empty Row", "Empty Row",
   IF(OR(
       _xlfn.XLOOKUP(B431, MasterTable[IRA Custodian], MasterTable[City], "")="",
       _xlfn.XLOOKUP(B431, MasterTable[IRA Custodian], MasterTable[State], "")="",
       _xlfn.XLOOKUP(B431, MasterTable[IRA Custodian], MasterTable[Zip], "")=""),
       "INCOMPLETE ADDRESS",
       _xlfn.CONCAT(
           _xlfn.XLOOKUP(B431, MasterTable[IRA Custodian], MasterTable[City], ""), ", ",
           _xlfn.XLOOKUP(B431, MasterTable[IRA Custodian], MasterTable[State], ""), " ",
           _xlfn.XLOOKUP(B431, MasterTable[IRA Custodian], MasterTable[Zip], "")
       )
   )
)</f>
        <v>Empty Row</v>
      </c>
    </row>
    <row r="432" spans="1:10" x14ac:dyDescent="0.25">
      <c r="A432" t="str">
        <f>IF(D432="Empty Row", "Empty Row",
   _xlfn.LET(
       _xlpm.lookupResult, _xlfn.XLOOKUP(D432, RawDataTable[Account Name and Number], RawDataTable[Entity], "RAW DATA MISSING"),
       IF(ISBLANK(_xlpm.lookupResult), "RAW DATA MISSING", _xlpm.lookupResult)
   )
)</f>
        <v>Empty Row</v>
      </c>
      <c r="B432" t="str">
        <f>IF(D432="Empty Row", "Empty Row",
   _xlfn.LET(
       _xlpm.rawDataLookup, _xlfn.XLOOKUP(D432,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32" s="56" t="str" cm="1">
        <f t="array" ref="C432">IF(D432="Empty Row", "Empty Row",
   IF(COUNTIF('Name Mapping'!H:AD, D432) &gt; 0,
      INDEX('Name Mapping'!F:F, MATCH(TRUE, MMULT(--('Name Mapping'!H:AD=D432), TRANSPOSE(COLUMN('Name Mapping'!H:AD)^0)) &gt; 0, 0)),
      "")
)</f>
        <v>Empty Row</v>
      </c>
      <c r="D432" t="str">
        <f>IF(RawDataTable[[#This Row],[Account Name and Number]]&lt;&gt;"", RawDataTable[[#This Row],[Account Name and Number]], "Empty Row")</f>
        <v>Empty Row</v>
      </c>
      <c r="E432" s="28" t="str">
        <f>IF(D432="Empty Row", "Empty Row",
   _xlfn.LET(
       _xlpm.lookupResult, _xlfn.XLOOKUP(D432, RawDataTable[Account Name and Number], RawDataTable[Investment Date], "MISSING VALUE"),
       IF(ISNUMBER(_xlpm.lookupResult), _xlpm.lookupResult, "INVALID VALUE")
   )
)</f>
        <v>Empty Row</v>
      </c>
      <c r="F432" s="29" t="str">
        <f>IF(D432="Empty Row", "Empty Row",
   _xlfn.LET(
       _xlpm.lookupResult, _xlfn.XLOOKUP(D432, RawDataTable[Account Name and Number], RawDataTable[Investment Amount], "MISSING VALUE"),
       IF(ISNUMBER(_xlpm.lookupResult), _xlpm.lookupResult, "INVALID VALUE")
   )
)</f>
        <v>Empty Row</v>
      </c>
      <c r="G432" s="28" t="str">
        <f t="shared" ca="1" si="6"/>
        <v>Empty Row</v>
      </c>
      <c r="H432" s="29" t="str">
        <f>IF(D432="Empty Row", "Empty Row",
   _xlfn.LET(
       _xlpm.lookupResult, _xlfn.XLOOKUP(D432, RawDataTable[Account Name and Number], RawDataTable[Valuation Amount], "MISSING VALUE"),
       IF(ISNUMBER(_xlpm.lookupResult), _xlpm.lookupResult, "INVALID VALUE")
   )
)</f>
        <v>Empty Row</v>
      </c>
      <c r="I432" s="2" t="str">
        <f>IF(D432="Empty Row", "Empty Row", IF(_xlfn.XLOOKUP(B432, MasterTable[IRA Custodian], MasterTable[Address], "")="", "NO STREET NAME FOUND", _xlfn.XLOOKUP(B432, MasterTable[IRA Custodian], MasterTable[Address], "")))</f>
        <v>Empty Row</v>
      </c>
      <c r="J432" s="2" t="str">
        <f>IF(D432="Empty Row", "Empty Row",
   IF(OR(
       _xlfn.XLOOKUP(B432, MasterTable[IRA Custodian], MasterTable[City], "")="",
       _xlfn.XLOOKUP(B432, MasterTable[IRA Custodian], MasterTable[State], "")="",
       _xlfn.XLOOKUP(B432, MasterTable[IRA Custodian], MasterTable[Zip], "")=""),
       "INCOMPLETE ADDRESS",
       _xlfn.CONCAT(
           _xlfn.XLOOKUP(B432, MasterTable[IRA Custodian], MasterTable[City], ""), ", ",
           _xlfn.XLOOKUP(B432, MasterTable[IRA Custodian], MasterTable[State], ""), " ",
           _xlfn.XLOOKUP(B432, MasterTable[IRA Custodian], MasterTable[Zip], "")
       )
   )
)</f>
        <v>Empty Row</v>
      </c>
    </row>
    <row r="433" spans="1:10" x14ac:dyDescent="0.25">
      <c r="A433" t="str">
        <f>IF(D433="Empty Row", "Empty Row",
   _xlfn.LET(
       _xlpm.lookupResult, _xlfn.XLOOKUP(D433, RawDataTable[Account Name and Number], RawDataTable[Entity], "RAW DATA MISSING"),
       IF(ISBLANK(_xlpm.lookupResult), "RAW DATA MISSING", _xlpm.lookupResult)
   )
)</f>
        <v>Empty Row</v>
      </c>
      <c r="B433" t="str">
        <f>IF(D433="Empty Row", "Empty Row",
   _xlfn.LET(
       _xlpm.rawDataLookup, _xlfn.XLOOKUP(D433,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33" s="56" t="str" cm="1">
        <f t="array" ref="C433">IF(D433="Empty Row", "Empty Row",
   IF(COUNTIF('Name Mapping'!H:AD, D433) &gt; 0,
      INDEX('Name Mapping'!F:F, MATCH(TRUE, MMULT(--('Name Mapping'!H:AD=D433), TRANSPOSE(COLUMN('Name Mapping'!H:AD)^0)) &gt; 0, 0)),
      "")
)</f>
        <v>Empty Row</v>
      </c>
      <c r="D433" t="str">
        <f>IF(RawDataTable[[#This Row],[Account Name and Number]]&lt;&gt;"", RawDataTable[[#This Row],[Account Name and Number]], "Empty Row")</f>
        <v>Empty Row</v>
      </c>
      <c r="E433" s="28" t="str">
        <f>IF(D433="Empty Row", "Empty Row",
   _xlfn.LET(
       _xlpm.lookupResult, _xlfn.XLOOKUP(D433, RawDataTable[Account Name and Number], RawDataTable[Investment Date], "MISSING VALUE"),
       IF(ISNUMBER(_xlpm.lookupResult), _xlpm.lookupResult, "INVALID VALUE")
   )
)</f>
        <v>Empty Row</v>
      </c>
      <c r="F433" s="29" t="str">
        <f>IF(D433="Empty Row", "Empty Row",
   _xlfn.LET(
       _xlpm.lookupResult, _xlfn.XLOOKUP(D433, RawDataTable[Account Name and Number], RawDataTable[Investment Amount], "MISSING VALUE"),
       IF(ISNUMBER(_xlpm.lookupResult), _xlpm.lookupResult, "INVALID VALUE")
   )
)</f>
        <v>Empty Row</v>
      </c>
      <c r="G433" s="28" t="str">
        <f t="shared" ca="1" si="6"/>
        <v>Empty Row</v>
      </c>
      <c r="H433" s="29" t="str">
        <f>IF(D433="Empty Row", "Empty Row",
   _xlfn.LET(
       _xlpm.lookupResult, _xlfn.XLOOKUP(D433, RawDataTable[Account Name and Number], RawDataTable[Valuation Amount], "MISSING VALUE"),
       IF(ISNUMBER(_xlpm.lookupResult), _xlpm.lookupResult, "INVALID VALUE")
   )
)</f>
        <v>Empty Row</v>
      </c>
      <c r="I433" s="2" t="str">
        <f>IF(D433="Empty Row", "Empty Row", IF(_xlfn.XLOOKUP(B433, MasterTable[IRA Custodian], MasterTable[Address], "")="", "NO STREET NAME FOUND", _xlfn.XLOOKUP(B433, MasterTable[IRA Custodian], MasterTable[Address], "")))</f>
        <v>Empty Row</v>
      </c>
      <c r="J433" s="2" t="str">
        <f>IF(D433="Empty Row", "Empty Row",
   IF(OR(
       _xlfn.XLOOKUP(B433, MasterTable[IRA Custodian], MasterTable[City], "")="",
       _xlfn.XLOOKUP(B433, MasterTable[IRA Custodian], MasterTable[State], "")="",
       _xlfn.XLOOKUP(B433, MasterTable[IRA Custodian], MasterTable[Zip], "")=""),
       "INCOMPLETE ADDRESS",
       _xlfn.CONCAT(
           _xlfn.XLOOKUP(B433, MasterTable[IRA Custodian], MasterTable[City], ""), ", ",
           _xlfn.XLOOKUP(B433, MasterTable[IRA Custodian], MasterTable[State], ""), " ",
           _xlfn.XLOOKUP(B433, MasterTable[IRA Custodian], MasterTable[Zip], "")
       )
   )
)</f>
        <v>Empty Row</v>
      </c>
    </row>
    <row r="434" spans="1:10" x14ac:dyDescent="0.25">
      <c r="A434" t="str">
        <f>IF(D434="Empty Row", "Empty Row",
   _xlfn.LET(
       _xlpm.lookupResult, _xlfn.XLOOKUP(D434, RawDataTable[Account Name and Number], RawDataTable[Entity], "RAW DATA MISSING"),
       IF(ISBLANK(_xlpm.lookupResult), "RAW DATA MISSING", _xlpm.lookupResult)
   )
)</f>
        <v>Empty Row</v>
      </c>
      <c r="B434" t="str">
        <f>IF(D434="Empty Row", "Empty Row",
   _xlfn.LET(
       _xlpm.rawDataLookup, _xlfn.XLOOKUP(D434,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34" s="56" t="str" cm="1">
        <f t="array" ref="C434">IF(D434="Empty Row", "Empty Row",
   IF(COUNTIF('Name Mapping'!H:AD, D434) &gt; 0,
      INDEX('Name Mapping'!F:F, MATCH(TRUE, MMULT(--('Name Mapping'!H:AD=D434), TRANSPOSE(COLUMN('Name Mapping'!H:AD)^0)) &gt; 0, 0)),
      "")
)</f>
        <v>Empty Row</v>
      </c>
      <c r="D434" t="str">
        <f>IF(RawDataTable[[#This Row],[Account Name and Number]]&lt;&gt;"", RawDataTable[[#This Row],[Account Name and Number]], "Empty Row")</f>
        <v>Empty Row</v>
      </c>
      <c r="E434" s="28" t="str">
        <f>IF(D434="Empty Row", "Empty Row",
   _xlfn.LET(
       _xlpm.lookupResult, _xlfn.XLOOKUP(D434, RawDataTable[Account Name and Number], RawDataTable[Investment Date], "MISSING VALUE"),
       IF(ISNUMBER(_xlpm.lookupResult), _xlpm.lookupResult, "INVALID VALUE")
   )
)</f>
        <v>Empty Row</v>
      </c>
      <c r="F434" s="29" t="str">
        <f>IF(D434="Empty Row", "Empty Row",
   _xlfn.LET(
       _xlpm.lookupResult, _xlfn.XLOOKUP(D434, RawDataTable[Account Name and Number], RawDataTable[Investment Amount], "MISSING VALUE"),
       IF(ISNUMBER(_xlpm.lookupResult), _xlpm.lookupResult, "INVALID VALUE")
   )
)</f>
        <v>Empty Row</v>
      </c>
      <c r="G434" s="28" t="str">
        <f t="shared" ca="1" si="6"/>
        <v>Empty Row</v>
      </c>
      <c r="H434" s="29" t="str">
        <f>IF(D434="Empty Row", "Empty Row",
   _xlfn.LET(
       _xlpm.lookupResult, _xlfn.XLOOKUP(D434, RawDataTable[Account Name and Number], RawDataTable[Valuation Amount], "MISSING VALUE"),
       IF(ISNUMBER(_xlpm.lookupResult), _xlpm.lookupResult, "INVALID VALUE")
   )
)</f>
        <v>Empty Row</v>
      </c>
      <c r="I434" s="2" t="str">
        <f>IF(D434="Empty Row", "Empty Row", IF(_xlfn.XLOOKUP(B434, MasterTable[IRA Custodian], MasterTable[Address], "")="", "NO STREET NAME FOUND", _xlfn.XLOOKUP(B434, MasterTable[IRA Custodian], MasterTable[Address], "")))</f>
        <v>Empty Row</v>
      </c>
      <c r="J434" s="2" t="str">
        <f>IF(D434="Empty Row", "Empty Row",
   IF(OR(
       _xlfn.XLOOKUP(B434, MasterTable[IRA Custodian], MasterTable[City], "")="",
       _xlfn.XLOOKUP(B434, MasterTable[IRA Custodian], MasterTable[State], "")="",
       _xlfn.XLOOKUP(B434, MasterTable[IRA Custodian], MasterTable[Zip], "")=""),
       "INCOMPLETE ADDRESS",
       _xlfn.CONCAT(
           _xlfn.XLOOKUP(B434, MasterTable[IRA Custodian], MasterTable[City], ""), ", ",
           _xlfn.XLOOKUP(B434, MasterTable[IRA Custodian], MasterTable[State], ""), " ",
           _xlfn.XLOOKUP(B434, MasterTable[IRA Custodian], MasterTable[Zip], "")
       )
   )
)</f>
        <v>Empty Row</v>
      </c>
    </row>
    <row r="435" spans="1:10" x14ac:dyDescent="0.25">
      <c r="A435" t="str">
        <f>IF(D435="Empty Row", "Empty Row",
   _xlfn.LET(
       _xlpm.lookupResult, _xlfn.XLOOKUP(D435, RawDataTable[Account Name and Number], RawDataTable[Entity], "RAW DATA MISSING"),
       IF(ISBLANK(_xlpm.lookupResult), "RAW DATA MISSING", _xlpm.lookupResult)
   )
)</f>
        <v>Empty Row</v>
      </c>
      <c r="B435" t="str">
        <f>IF(D435="Empty Row", "Empty Row",
   _xlfn.LET(
       _xlpm.rawDataLookup, _xlfn.XLOOKUP(D435,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35" s="56" t="str" cm="1">
        <f t="array" ref="C435">IF(D435="Empty Row", "Empty Row",
   IF(COUNTIF('Name Mapping'!H:AD, D435) &gt; 0,
      INDEX('Name Mapping'!F:F, MATCH(TRUE, MMULT(--('Name Mapping'!H:AD=D435), TRANSPOSE(COLUMN('Name Mapping'!H:AD)^0)) &gt; 0, 0)),
      "")
)</f>
        <v>Empty Row</v>
      </c>
      <c r="D435" t="str">
        <f>IF(RawDataTable[[#This Row],[Account Name and Number]]&lt;&gt;"", RawDataTable[[#This Row],[Account Name and Number]], "Empty Row")</f>
        <v>Empty Row</v>
      </c>
      <c r="E435" s="28" t="str">
        <f>IF(D435="Empty Row", "Empty Row",
   _xlfn.LET(
       _xlpm.lookupResult, _xlfn.XLOOKUP(D435, RawDataTable[Account Name and Number], RawDataTable[Investment Date], "MISSING VALUE"),
       IF(ISNUMBER(_xlpm.lookupResult), _xlpm.lookupResult, "INVALID VALUE")
   )
)</f>
        <v>Empty Row</v>
      </c>
      <c r="F435" s="29" t="str">
        <f>IF(D435="Empty Row", "Empty Row",
   _xlfn.LET(
       _xlpm.lookupResult, _xlfn.XLOOKUP(D435, RawDataTable[Account Name and Number], RawDataTable[Investment Amount], "MISSING VALUE"),
       IF(ISNUMBER(_xlpm.lookupResult), _xlpm.lookupResult, "INVALID VALUE")
   )
)</f>
        <v>Empty Row</v>
      </c>
      <c r="G435" s="28" t="str">
        <f t="shared" ca="1" si="6"/>
        <v>Empty Row</v>
      </c>
      <c r="H435" s="29" t="str">
        <f>IF(D435="Empty Row", "Empty Row",
   _xlfn.LET(
       _xlpm.lookupResult, _xlfn.XLOOKUP(D435, RawDataTable[Account Name and Number], RawDataTable[Valuation Amount], "MISSING VALUE"),
       IF(ISNUMBER(_xlpm.lookupResult), _xlpm.lookupResult, "INVALID VALUE")
   )
)</f>
        <v>Empty Row</v>
      </c>
      <c r="I435" s="2" t="str">
        <f>IF(D435="Empty Row", "Empty Row", IF(_xlfn.XLOOKUP(B435, MasterTable[IRA Custodian], MasterTable[Address], "")="", "NO STREET NAME FOUND", _xlfn.XLOOKUP(B435, MasterTable[IRA Custodian], MasterTable[Address], "")))</f>
        <v>Empty Row</v>
      </c>
      <c r="J435" s="2" t="str">
        <f>IF(D435="Empty Row", "Empty Row",
   IF(OR(
       _xlfn.XLOOKUP(B435, MasterTable[IRA Custodian], MasterTable[City], "")="",
       _xlfn.XLOOKUP(B435, MasterTable[IRA Custodian], MasterTable[State], "")="",
       _xlfn.XLOOKUP(B435, MasterTable[IRA Custodian], MasterTable[Zip], "")=""),
       "INCOMPLETE ADDRESS",
       _xlfn.CONCAT(
           _xlfn.XLOOKUP(B435, MasterTable[IRA Custodian], MasterTable[City], ""), ", ",
           _xlfn.XLOOKUP(B435, MasterTable[IRA Custodian], MasterTable[State], ""), " ",
           _xlfn.XLOOKUP(B435, MasterTable[IRA Custodian], MasterTable[Zip], "")
       )
   )
)</f>
        <v>Empty Row</v>
      </c>
    </row>
    <row r="436" spans="1:10" x14ac:dyDescent="0.25">
      <c r="A436" t="str">
        <f>IF(D436="Empty Row", "Empty Row",
   _xlfn.LET(
       _xlpm.lookupResult, _xlfn.XLOOKUP(D436, RawDataTable[Account Name and Number], RawDataTable[Entity], "RAW DATA MISSING"),
       IF(ISBLANK(_xlpm.lookupResult), "RAW DATA MISSING", _xlpm.lookupResult)
   )
)</f>
        <v>Empty Row</v>
      </c>
      <c r="B436" t="str">
        <f>IF(D436="Empty Row", "Empty Row",
   _xlfn.LET(
       _xlpm.rawDataLookup, _xlfn.XLOOKUP(D436,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36" s="56" t="str" cm="1">
        <f t="array" ref="C436">IF(D436="Empty Row", "Empty Row",
   IF(COUNTIF('Name Mapping'!H:AD, D436) &gt; 0,
      INDEX('Name Mapping'!F:F, MATCH(TRUE, MMULT(--('Name Mapping'!H:AD=D436), TRANSPOSE(COLUMN('Name Mapping'!H:AD)^0)) &gt; 0, 0)),
      "")
)</f>
        <v>Empty Row</v>
      </c>
      <c r="D436" t="str">
        <f>IF(RawDataTable[[#This Row],[Account Name and Number]]&lt;&gt;"", RawDataTable[[#This Row],[Account Name and Number]], "Empty Row")</f>
        <v>Empty Row</v>
      </c>
      <c r="E436" s="28" t="str">
        <f>IF(D436="Empty Row", "Empty Row",
   _xlfn.LET(
       _xlpm.lookupResult, _xlfn.XLOOKUP(D436, RawDataTable[Account Name and Number], RawDataTable[Investment Date], "MISSING VALUE"),
       IF(ISNUMBER(_xlpm.lookupResult), _xlpm.lookupResult, "INVALID VALUE")
   )
)</f>
        <v>Empty Row</v>
      </c>
      <c r="F436" s="29" t="str">
        <f>IF(D436="Empty Row", "Empty Row",
   _xlfn.LET(
       _xlpm.lookupResult, _xlfn.XLOOKUP(D436, RawDataTable[Account Name and Number], RawDataTable[Investment Amount], "MISSING VALUE"),
       IF(ISNUMBER(_xlpm.lookupResult), _xlpm.lookupResult, "INVALID VALUE")
   )
)</f>
        <v>Empty Row</v>
      </c>
      <c r="G436" s="28" t="str">
        <f t="shared" ca="1" si="6"/>
        <v>Empty Row</v>
      </c>
      <c r="H436" s="29" t="str">
        <f>IF(D436="Empty Row", "Empty Row",
   _xlfn.LET(
       _xlpm.lookupResult, _xlfn.XLOOKUP(D436, RawDataTable[Account Name and Number], RawDataTable[Valuation Amount], "MISSING VALUE"),
       IF(ISNUMBER(_xlpm.lookupResult), _xlpm.lookupResult, "INVALID VALUE")
   )
)</f>
        <v>Empty Row</v>
      </c>
      <c r="I436" s="2" t="str">
        <f>IF(D436="Empty Row", "Empty Row", IF(_xlfn.XLOOKUP(B436, MasterTable[IRA Custodian], MasterTable[Address], "")="", "NO STREET NAME FOUND", _xlfn.XLOOKUP(B436, MasterTable[IRA Custodian], MasterTable[Address], "")))</f>
        <v>Empty Row</v>
      </c>
      <c r="J436" s="2" t="str">
        <f>IF(D436="Empty Row", "Empty Row",
   IF(OR(
       _xlfn.XLOOKUP(B436, MasterTable[IRA Custodian], MasterTable[City], "")="",
       _xlfn.XLOOKUP(B436, MasterTable[IRA Custodian], MasterTable[State], "")="",
       _xlfn.XLOOKUP(B436, MasterTable[IRA Custodian], MasterTable[Zip], "")=""),
       "INCOMPLETE ADDRESS",
       _xlfn.CONCAT(
           _xlfn.XLOOKUP(B436, MasterTable[IRA Custodian], MasterTable[City], ""), ", ",
           _xlfn.XLOOKUP(B436, MasterTable[IRA Custodian], MasterTable[State], ""), " ",
           _xlfn.XLOOKUP(B436, MasterTable[IRA Custodian], MasterTable[Zip], "")
       )
   )
)</f>
        <v>Empty Row</v>
      </c>
    </row>
    <row r="437" spans="1:10" x14ac:dyDescent="0.25">
      <c r="A437" t="str">
        <f>IF(D437="Empty Row", "Empty Row",
   _xlfn.LET(
       _xlpm.lookupResult, _xlfn.XLOOKUP(D437, RawDataTable[Account Name and Number], RawDataTable[Entity], "RAW DATA MISSING"),
       IF(ISBLANK(_xlpm.lookupResult), "RAW DATA MISSING", _xlpm.lookupResult)
   )
)</f>
        <v>Empty Row</v>
      </c>
      <c r="B437" t="str">
        <f>IF(D437="Empty Row", "Empty Row",
   _xlfn.LET(
       _xlpm.rawDataLookup, _xlfn.XLOOKUP(D437,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37" s="56" t="str" cm="1">
        <f t="array" ref="C437">IF(D437="Empty Row", "Empty Row",
   IF(COUNTIF('Name Mapping'!H:AD, D437) &gt; 0,
      INDEX('Name Mapping'!F:F, MATCH(TRUE, MMULT(--('Name Mapping'!H:AD=D437), TRANSPOSE(COLUMN('Name Mapping'!H:AD)^0)) &gt; 0, 0)),
      "")
)</f>
        <v>Empty Row</v>
      </c>
      <c r="D437" t="str">
        <f>IF(RawDataTable[[#This Row],[Account Name and Number]]&lt;&gt;"", RawDataTable[[#This Row],[Account Name and Number]], "Empty Row")</f>
        <v>Empty Row</v>
      </c>
      <c r="E437" s="28" t="str">
        <f>IF(D437="Empty Row", "Empty Row",
   _xlfn.LET(
       _xlpm.lookupResult, _xlfn.XLOOKUP(D437, RawDataTable[Account Name and Number], RawDataTable[Investment Date], "MISSING VALUE"),
       IF(ISNUMBER(_xlpm.lookupResult), _xlpm.lookupResult, "INVALID VALUE")
   )
)</f>
        <v>Empty Row</v>
      </c>
      <c r="F437" s="29" t="str">
        <f>IF(D437="Empty Row", "Empty Row",
   _xlfn.LET(
       _xlpm.lookupResult, _xlfn.XLOOKUP(D437, RawDataTable[Account Name and Number], RawDataTable[Investment Amount], "MISSING VALUE"),
       IF(ISNUMBER(_xlpm.lookupResult), _xlpm.lookupResult, "INVALID VALUE")
   )
)</f>
        <v>Empty Row</v>
      </c>
      <c r="G437" s="28" t="str">
        <f t="shared" ca="1" si="6"/>
        <v>Empty Row</v>
      </c>
      <c r="H437" s="29" t="str">
        <f>IF(D437="Empty Row", "Empty Row",
   _xlfn.LET(
       _xlpm.lookupResult, _xlfn.XLOOKUP(D437, RawDataTable[Account Name and Number], RawDataTable[Valuation Amount], "MISSING VALUE"),
       IF(ISNUMBER(_xlpm.lookupResult), _xlpm.lookupResult, "INVALID VALUE")
   )
)</f>
        <v>Empty Row</v>
      </c>
      <c r="I437" s="2" t="str">
        <f>IF(D437="Empty Row", "Empty Row", IF(_xlfn.XLOOKUP(B437, MasterTable[IRA Custodian], MasterTable[Address], "")="", "NO STREET NAME FOUND", _xlfn.XLOOKUP(B437, MasterTable[IRA Custodian], MasterTable[Address], "")))</f>
        <v>Empty Row</v>
      </c>
      <c r="J437" s="2" t="str">
        <f>IF(D437="Empty Row", "Empty Row",
   IF(OR(
       _xlfn.XLOOKUP(B437, MasterTable[IRA Custodian], MasterTable[City], "")="",
       _xlfn.XLOOKUP(B437, MasterTable[IRA Custodian], MasterTable[State], "")="",
       _xlfn.XLOOKUP(B437, MasterTable[IRA Custodian], MasterTable[Zip], "")=""),
       "INCOMPLETE ADDRESS",
       _xlfn.CONCAT(
           _xlfn.XLOOKUP(B437, MasterTable[IRA Custodian], MasterTable[City], ""), ", ",
           _xlfn.XLOOKUP(B437, MasterTable[IRA Custodian], MasterTable[State], ""), " ",
           _xlfn.XLOOKUP(B437, MasterTable[IRA Custodian], MasterTable[Zip], "")
       )
   )
)</f>
        <v>Empty Row</v>
      </c>
    </row>
    <row r="438" spans="1:10" x14ac:dyDescent="0.25">
      <c r="A438" t="str">
        <f>IF(D438="Empty Row", "Empty Row",
   _xlfn.LET(
       _xlpm.lookupResult, _xlfn.XLOOKUP(D438, RawDataTable[Account Name and Number], RawDataTable[Entity], "RAW DATA MISSING"),
       IF(ISBLANK(_xlpm.lookupResult), "RAW DATA MISSING", _xlpm.lookupResult)
   )
)</f>
        <v>Empty Row</v>
      </c>
      <c r="B438" t="str">
        <f>IF(D438="Empty Row", "Empty Row",
   _xlfn.LET(
       _xlpm.rawDataLookup, _xlfn.XLOOKUP(D438,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38" s="56" t="str" cm="1">
        <f t="array" ref="C438">IF(D438="Empty Row", "Empty Row",
   IF(COUNTIF('Name Mapping'!H:AD, D438) &gt; 0,
      INDEX('Name Mapping'!F:F, MATCH(TRUE, MMULT(--('Name Mapping'!H:AD=D438), TRANSPOSE(COLUMN('Name Mapping'!H:AD)^0)) &gt; 0, 0)),
      "")
)</f>
        <v>Empty Row</v>
      </c>
      <c r="D438" t="str">
        <f>IF(RawDataTable[[#This Row],[Account Name and Number]]&lt;&gt;"", RawDataTable[[#This Row],[Account Name and Number]], "Empty Row")</f>
        <v>Empty Row</v>
      </c>
      <c r="E438" s="28" t="str">
        <f>IF(D438="Empty Row", "Empty Row",
   _xlfn.LET(
       _xlpm.lookupResult, _xlfn.XLOOKUP(D438, RawDataTable[Account Name and Number], RawDataTable[Investment Date], "MISSING VALUE"),
       IF(ISNUMBER(_xlpm.lookupResult), _xlpm.lookupResult, "INVALID VALUE")
   )
)</f>
        <v>Empty Row</v>
      </c>
      <c r="F438" s="29" t="str">
        <f>IF(D438="Empty Row", "Empty Row",
   _xlfn.LET(
       _xlpm.lookupResult, _xlfn.XLOOKUP(D438, RawDataTable[Account Name and Number], RawDataTable[Investment Amount], "MISSING VALUE"),
       IF(ISNUMBER(_xlpm.lookupResult), _xlpm.lookupResult, "INVALID VALUE")
   )
)</f>
        <v>Empty Row</v>
      </c>
      <c r="G438" s="28" t="str">
        <f t="shared" ca="1" si="6"/>
        <v>Empty Row</v>
      </c>
      <c r="H438" s="29" t="str">
        <f>IF(D438="Empty Row", "Empty Row",
   _xlfn.LET(
       _xlpm.lookupResult, _xlfn.XLOOKUP(D438, RawDataTable[Account Name and Number], RawDataTable[Valuation Amount], "MISSING VALUE"),
       IF(ISNUMBER(_xlpm.lookupResult), _xlpm.lookupResult, "INVALID VALUE")
   )
)</f>
        <v>Empty Row</v>
      </c>
      <c r="I438" s="2" t="str">
        <f>IF(D438="Empty Row", "Empty Row", IF(_xlfn.XLOOKUP(B438, MasterTable[IRA Custodian], MasterTable[Address], "")="", "NO STREET NAME FOUND", _xlfn.XLOOKUP(B438, MasterTable[IRA Custodian], MasterTable[Address], "")))</f>
        <v>Empty Row</v>
      </c>
      <c r="J438" s="2" t="str">
        <f>IF(D438="Empty Row", "Empty Row",
   IF(OR(
       _xlfn.XLOOKUP(B438, MasterTable[IRA Custodian], MasterTable[City], "")="",
       _xlfn.XLOOKUP(B438, MasterTable[IRA Custodian], MasterTable[State], "")="",
       _xlfn.XLOOKUP(B438, MasterTable[IRA Custodian], MasterTable[Zip], "")=""),
       "INCOMPLETE ADDRESS",
       _xlfn.CONCAT(
           _xlfn.XLOOKUP(B438, MasterTable[IRA Custodian], MasterTable[City], ""), ", ",
           _xlfn.XLOOKUP(B438, MasterTable[IRA Custodian], MasterTable[State], ""), " ",
           _xlfn.XLOOKUP(B438, MasterTable[IRA Custodian], MasterTable[Zip], "")
       )
   )
)</f>
        <v>Empty Row</v>
      </c>
    </row>
    <row r="439" spans="1:10" x14ac:dyDescent="0.25">
      <c r="A439" t="str">
        <f>IF(D439="Empty Row", "Empty Row",
   _xlfn.LET(
       _xlpm.lookupResult, _xlfn.XLOOKUP(D439, RawDataTable[Account Name and Number], RawDataTable[Entity], "RAW DATA MISSING"),
       IF(ISBLANK(_xlpm.lookupResult), "RAW DATA MISSING", _xlpm.lookupResult)
   )
)</f>
        <v>Empty Row</v>
      </c>
      <c r="B439" t="str">
        <f>IF(D439="Empty Row", "Empty Row",
   _xlfn.LET(
       _xlpm.rawDataLookup, _xlfn.XLOOKUP(D439,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39" s="56" t="str" cm="1">
        <f t="array" ref="C439">IF(D439="Empty Row", "Empty Row",
   IF(COUNTIF('Name Mapping'!H:AD, D439) &gt; 0,
      INDEX('Name Mapping'!F:F, MATCH(TRUE, MMULT(--('Name Mapping'!H:AD=D439), TRANSPOSE(COLUMN('Name Mapping'!H:AD)^0)) &gt; 0, 0)),
      "")
)</f>
        <v>Empty Row</v>
      </c>
      <c r="D439" t="str">
        <f>IF(RawDataTable[[#This Row],[Account Name and Number]]&lt;&gt;"", RawDataTable[[#This Row],[Account Name and Number]], "Empty Row")</f>
        <v>Empty Row</v>
      </c>
      <c r="E439" s="28" t="str">
        <f>IF(D439="Empty Row", "Empty Row",
   _xlfn.LET(
       _xlpm.lookupResult, _xlfn.XLOOKUP(D439, RawDataTable[Account Name and Number], RawDataTable[Investment Date], "MISSING VALUE"),
       IF(ISNUMBER(_xlpm.lookupResult), _xlpm.lookupResult, "INVALID VALUE")
   )
)</f>
        <v>Empty Row</v>
      </c>
      <c r="F439" s="29" t="str">
        <f>IF(D439="Empty Row", "Empty Row",
   _xlfn.LET(
       _xlpm.lookupResult, _xlfn.XLOOKUP(D439, RawDataTable[Account Name and Number], RawDataTable[Investment Amount], "MISSING VALUE"),
       IF(ISNUMBER(_xlpm.lookupResult), _xlpm.lookupResult, "INVALID VALUE")
   )
)</f>
        <v>Empty Row</v>
      </c>
      <c r="G439" s="28" t="str">
        <f t="shared" ca="1" si="6"/>
        <v>Empty Row</v>
      </c>
      <c r="H439" s="29" t="str">
        <f>IF(D439="Empty Row", "Empty Row",
   _xlfn.LET(
       _xlpm.lookupResult, _xlfn.XLOOKUP(D439, RawDataTable[Account Name and Number], RawDataTable[Valuation Amount], "MISSING VALUE"),
       IF(ISNUMBER(_xlpm.lookupResult), _xlpm.lookupResult, "INVALID VALUE")
   )
)</f>
        <v>Empty Row</v>
      </c>
      <c r="I439" s="2" t="str">
        <f>IF(D439="Empty Row", "Empty Row", IF(_xlfn.XLOOKUP(B439, MasterTable[IRA Custodian], MasterTable[Address], "")="", "NO STREET NAME FOUND", _xlfn.XLOOKUP(B439, MasterTable[IRA Custodian], MasterTable[Address], "")))</f>
        <v>Empty Row</v>
      </c>
      <c r="J439" s="2" t="str">
        <f>IF(D439="Empty Row", "Empty Row",
   IF(OR(
       _xlfn.XLOOKUP(B439, MasterTable[IRA Custodian], MasterTable[City], "")="",
       _xlfn.XLOOKUP(B439, MasterTable[IRA Custodian], MasterTable[State], "")="",
       _xlfn.XLOOKUP(B439, MasterTable[IRA Custodian], MasterTable[Zip], "")=""),
       "INCOMPLETE ADDRESS",
       _xlfn.CONCAT(
           _xlfn.XLOOKUP(B439, MasterTable[IRA Custodian], MasterTable[City], ""), ", ",
           _xlfn.XLOOKUP(B439, MasterTable[IRA Custodian], MasterTable[State], ""), " ",
           _xlfn.XLOOKUP(B439, MasterTable[IRA Custodian], MasterTable[Zip], "")
       )
   )
)</f>
        <v>Empty Row</v>
      </c>
    </row>
    <row r="440" spans="1:10" x14ac:dyDescent="0.25">
      <c r="A440" t="str">
        <f>IF(D440="Empty Row", "Empty Row",
   _xlfn.LET(
       _xlpm.lookupResult, _xlfn.XLOOKUP(D440, RawDataTable[Account Name and Number], RawDataTable[Entity], "RAW DATA MISSING"),
       IF(ISBLANK(_xlpm.lookupResult), "RAW DATA MISSING", _xlpm.lookupResult)
   )
)</f>
        <v>Empty Row</v>
      </c>
      <c r="B440" t="str">
        <f>IF(D440="Empty Row", "Empty Row",
   _xlfn.LET(
       _xlpm.rawDataLookup, _xlfn.XLOOKUP(D440,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40" s="56" t="str" cm="1">
        <f t="array" ref="C440">IF(D440="Empty Row", "Empty Row",
   IF(COUNTIF('Name Mapping'!H:AD, D440) &gt; 0,
      INDEX('Name Mapping'!F:F, MATCH(TRUE, MMULT(--('Name Mapping'!H:AD=D440), TRANSPOSE(COLUMN('Name Mapping'!H:AD)^0)) &gt; 0, 0)),
      "")
)</f>
        <v>Empty Row</v>
      </c>
      <c r="D440" t="str">
        <f>IF(RawDataTable[[#This Row],[Account Name and Number]]&lt;&gt;"", RawDataTable[[#This Row],[Account Name and Number]], "Empty Row")</f>
        <v>Empty Row</v>
      </c>
      <c r="E440" s="28" t="str">
        <f>IF(D440="Empty Row", "Empty Row",
   _xlfn.LET(
       _xlpm.lookupResult, _xlfn.XLOOKUP(D440, RawDataTable[Account Name and Number], RawDataTable[Investment Date], "MISSING VALUE"),
       IF(ISNUMBER(_xlpm.lookupResult), _xlpm.lookupResult, "INVALID VALUE")
   )
)</f>
        <v>Empty Row</v>
      </c>
      <c r="F440" s="29" t="str">
        <f>IF(D440="Empty Row", "Empty Row",
   _xlfn.LET(
       _xlpm.lookupResult, _xlfn.XLOOKUP(D440, RawDataTable[Account Name and Number], RawDataTable[Investment Amount], "MISSING VALUE"),
       IF(ISNUMBER(_xlpm.lookupResult), _xlpm.lookupResult, "INVALID VALUE")
   )
)</f>
        <v>Empty Row</v>
      </c>
      <c r="G440" s="28" t="str">
        <f t="shared" ca="1" si="6"/>
        <v>Empty Row</v>
      </c>
      <c r="H440" s="29" t="str">
        <f>IF(D440="Empty Row", "Empty Row",
   _xlfn.LET(
       _xlpm.lookupResult, _xlfn.XLOOKUP(D440, RawDataTable[Account Name and Number], RawDataTable[Valuation Amount], "MISSING VALUE"),
       IF(ISNUMBER(_xlpm.lookupResult), _xlpm.lookupResult, "INVALID VALUE")
   )
)</f>
        <v>Empty Row</v>
      </c>
      <c r="I440" s="2" t="str">
        <f>IF(D440="Empty Row", "Empty Row", IF(_xlfn.XLOOKUP(B440, MasterTable[IRA Custodian], MasterTable[Address], "")="", "NO STREET NAME FOUND", _xlfn.XLOOKUP(B440, MasterTable[IRA Custodian], MasterTable[Address], "")))</f>
        <v>Empty Row</v>
      </c>
      <c r="J440" s="2" t="str">
        <f>IF(D440="Empty Row", "Empty Row",
   IF(OR(
       _xlfn.XLOOKUP(B440, MasterTable[IRA Custodian], MasterTable[City], "")="",
       _xlfn.XLOOKUP(B440, MasterTable[IRA Custodian], MasterTable[State], "")="",
       _xlfn.XLOOKUP(B440, MasterTable[IRA Custodian], MasterTable[Zip], "")=""),
       "INCOMPLETE ADDRESS",
       _xlfn.CONCAT(
           _xlfn.XLOOKUP(B440, MasterTable[IRA Custodian], MasterTable[City], ""), ", ",
           _xlfn.XLOOKUP(B440, MasterTable[IRA Custodian], MasterTable[State], ""), " ",
           _xlfn.XLOOKUP(B440, MasterTable[IRA Custodian], MasterTable[Zip], "")
       )
   )
)</f>
        <v>Empty Row</v>
      </c>
    </row>
    <row r="441" spans="1:10" x14ac:dyDescent="0.25">
      <c r="A441" t="str">
        <f>IF(D441="Empty Row", "Empty Row",
   _xlfn.LET(
       _xlpm.lookupResult, _xlfn.XLOOKUP(D441, RawDataTable[Account Name and Number], RawDataTable[Entity], "RAW DATA MISSING"),
       IF(ISBLANK(_xlpm.lookupResult), "RAW DATA MISSING", _xlpm.lookupResult)
   )
)</f>
        <v>Empty Row</v>
      </c>
      <c r="B441" t="str">
        <f>IF(D441="Empty Row", "Empty Row",
   _xlfn.LET(
       _xlpm.rawDataLookup, _xlfn.XLOOKUP(D441,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41" s="56" t="str" cm="1">
        <f t="array" ref="C441">IF(D441="Empty Row", "Empty Row",
   IF(COUNTIF('Name Mapping'!H:AD, D441) &gt; 0,
      INDEX('Name Mapping'!F:F, MATCH(TRUE, MMULT(--('Name Mapping'!H:AD=D441), TRANSPOSE(COLUMN('Name Mapping'!H:AD)^0)) &gt; 0, 0)),
      "")
)</f>
        <v>Empty Row</v>
      </c>
      <c r="D441" t="str">
        <f>IF(RawDataTable[[#This Row],[Account Name and Number]]&lt;&gt;"", RawDataTable[[#This Row],[Account Name and Number]], "Empty Row")</f>
        <v>Empty Row</v>
      </c>
      <c r="E441" s="28" t="str">
        <f>IF(D441="Empty Row", "Empty Row",
   _xlfn.LET(
       _xlpm.lookupResult, _xlfn.XLOOKUP(D441, RawDataTable[Account Name and Number], RawDataTable[Investment Date], "MISSING VALUE"),
       IF(ISNUMBER(_xlpm.lookupResult), _xlpm.lookupResult, "INVALID VALUE")
   )
)</f>
        <v>Empty Row</v>
      </c>
      <c r="F441" s="29" t="str">
        <f>IF(D441="Empty Row", "Empty Row",
   _xlfn.LET(
       _xlpm.lookupResult, _xlfn.XLOOKUP(D441, RawDataTable[Account Name and Number], RawDataTable[Investment Amount], "MISSING VALUE"),
       IF(ISNUMBER(_xlpm.lookupResult), _xlpm.lookupResult, "INVALID VALUE")
   )
)</f>
        <v>Empty Row</v>
      </c>
      <c r="G441" s="28" t="str">
        <f t="shared" ca="1" si="6"/>
        <v>Empty Row</v>
      </c>
      <c r="H441" s="29" t="str">
        <f>IF(D441="Empty Row", "Empty Row",
   _xlfn.LET(
       _xlpm.lookupResult, _xlfn.XLOOKUP(D441, RawDataTable[Account Name and Number], RawDataTable[Valuation Amount], "MISSING VALUE"),
       IF(ISNUMBER(_xlpm.lookupResult), _xlpm.lookupResult, "INVALID VALUE")
   )
)</f>
        <v>Empty Row</v>
      </c>
      <c r="I441" s="2" t="str">
        <f>IF(D441="Empty Row", "Empty Row", IF(_xlfn.XLOOKUP(B441, MasterTable[IRA Custodian], MasterTable[Address], "")="", "NO STREET NAME FOUND", _xlfn.XLOOKUP(B441, MasterTable[IRA Custodian], MasterTable[Address], "")))</f>
        <v>Empty Row</v>
      </c>
      <c r="J441" s="2" t="str">
        <f>IF(D441="Empty Row", "Empty Row",
   IF(OR(
       _xlfn.XLOOKUP(B441, MasterTable[IRA Custodian], MasterTable[City], "")="",
       _xlfn.XLOOKUP(B441, MasterTable[IRA Custodian], MasterTable[State], "")="",
       _xlfn.XLOOKUP(B441, MasterTable[IRA Custodian], MasterTable[Zip], "")=""),
       "INCOMPLETE ADDRESS",
       _xlfn.CONCAT(
           _xlfn.XLOOKUP(B441, MasterTable[IRA Custodian], MasterTable[City], ""), ", ",
           _xlfn.XLOOKUP(B441, MasterTable[IRA Custodian], MasterTable[State], ""), " ",
           _xlfn.XLOOKUP(B441, MasterTable[IRA Custodian], MasterTable[Zip], "")
       )
   )
)</f>
        <v>Empty Row</v>
      </c>
    </row>
    <row r="442" spans="1:10" x14ac:dyDescent="0.25">
      <c r="A442" t="str">
        <f>IF(D442="Empty Row", "Empty Row",
   _xlfn.LET(
       _xlpm.lookupResult, _xlfn.XLOOKUP(D442, RawDataTable[Account Name and Number], RawDataTable[Entity], "RAW DATA MISSING"),
       IF(ISBLANK(_xlpm.lookupResult), "RAW DATA MISSING", _xlpm.lookupResult)
   )
)</f>
        <v>Empty Row</v>
      </c>
      <c r="B442" t="str">
        <f>IF(D442="Empty Row", "Empty Row",
   _xlfn.LET(
       _xlpm.rawDataLookup, _xlfn.XLOOKUP(D442,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42" s="56" t="str" cm="1">
        <f t="array" ref="C442">IF(D442="Empty Row", "Empty Row",
   IF(COUNTIF('Name Mapping'!H:AD, D442) &gt; 0,
      INDEX('Name Mapping'!F:F, MATCH(TRUE, MMULT(--('Name Mapping'!H:AD=D442), TRANSPOSE(COLUMN('Name Mapping'!H:AD)^0)) &gt; 0, 0)),
      "")
)</f>
        <v>Empty Row</v>
      </c>
      <c r="D442" t="str">
        <f>IF(RawDataTable[[#This Row],[Account Name and Number]]&lt;&gt;"", RawDataTable[[#This Row],[Account Name and Number]], "Empty Row")</f>
        <v>Empty Row</v>
      </c>
      <c r="E442" s="28" t="str">
        <f>IF(D442="Empty Row", "Empty Row",
   _xlfn.LET(
       _xlpm.lookupResult, _xlfn.XLOOKUP(D442, RawDataTable[Account Name and Number], RawDataTable[Investment Date], "MISSING VALUE"),
       IF(ISNUMBER(_xlpm.lookupResult), _xlpm.lookupResult, "INVALID VALUE")
   )
)</f>
        <v>Empty Row</v>
      </c>
      <c r="F442" s="29" t="str">
        <f>IF(D442="Empty Row", "Empty Row",
   _xlfn.LET(
       _xlpm.lookupResult, _xlfn.XLOOKUP(D442, RawDataTable[Account Name and Number], RawDataTable[Investment Amount], "MISSING VALUE"),
       IF(ISNUMBER(_xlpm.lookupResult), _xlpm.lookupResult, "INVALID VALUE")
   )
)</f>
        <v>Empty Row</v>
      </c>
      <c r="G442" s="28" t="str">
        <f t="shared" ca="1" si="6"/>
        <v>Empty Row</v>
      </c>
      <c r="H442" s="29" t="str">
        <f>IF(D442="Empty Row", "Empty Row",
   _xlfn.LET(
       _xlpm.lookupResult, _xlfn.XLOOKUP(D442, RawDataTable[Account Name and Number], RawDataTable[Valuation Amount], "MISSING VALUE"),
       IF(ISNUMBER(_xlpm.lookupResult), _xlpm.lookupResult, "INVALID VALUE")
   )
)</f>
        <v>Empty Row</v>
      </c>
      <c r="I442" s="2" t="str">
        <f>IF(D442="Empty Row", "Empty Row", IF(_xlfn.XLOOKUP(B442, MasterTable[IRA Custodian], MasterTable[Address], "")="", "NO STREET NAME FOUND", _xlfn.XLOOKUP(B442, MasterTable[IRA Custodian], MasterTable[Address], "")))</f>
        <v>Empty Row</v>
      </c>
      <c r="J442" s="2" t="str">
        <f>IF(D442="Empty Row", "Empty Row",
   IF(OR(
       _xlfn.XLOOKUP(B442, MasterTable[IRA Custodian], MasterTable[City], "")="",
       _xlfn.XLOOKUP(B442, MasterTable[IRA Custodian], MasterTable[State], "")="",
       _xlfn.XLOOKUP(B442, MasterTable[IRA Custodian], MasterTable[Zip], "")=""),
       "INCOMPLETE ADDRESS",
       _xlfn.CONCAT(
           _xlfn.XLOOKUP(B442, MasterTable[IRA Custodian], MasterTable[City], ""), ", ",
           _xlfn.XLOOKUP(B442, MasterTable[IRA Custodian], MasterTable[State], ""), " ",
           _xlfn.XLOOKUP(B442, MasterTable[IRA Custodian], MasterTable[Zip], "")
       )
   )
)</f>
        <v>Empty Row</v>
      </c>
    </row>
    <row r="443" spans="1:10" x14ac:dyDescent="0.25">
      <c r="A443" t="str">
        <f>IF(D443="Empty Row", "Empty Row",
   _xlfn.LET(
       _xlpm.lookupResult, _xlfn.XLOOKUP(D443, RawDataTable[Account Name and Number], RawDataTable[Entity], "RAW DATA MISSING"),
       IF(ISBLANK(_xlpm.lookupResult), "RAW DATA MISSING", _xlpm.lookupResult)
   )
)</f>
        <v>Empty Row</v>
      </c>
      <c r="B443" t="str">
        <f>IF(D443="Empty Row", "Empty Row",
   _xlfn.LET(
       _xlpm.rawDataLookup, _xlfn.XLOOKUP(D443,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43" s="56" t="str" cm="1">
        <f t="array" ref="C443">IF(D443="Empty Row", "Empty Row",
   IF(COUNTIF('Name Mapping'!H:AD, D443) &gt; 0,
      INDEX('Name Mapping'!F:F, MATCH(TRUE, MMULT(--('Name Mapping'!H:AD=D443), TRANSPOSE(COLUMN('Name Mapping'!H:AD)^0)) &gt; 0, 0)),
      "")
)</f>
        <v>Empty Row</v>
      </c>
      <c r="D443" t="str">
        <f>IF(RawDataTable[[#This Row],[Account Name and Number]]&lt;&gt;"", RawDataTable[[#This Row],[Account Name and Number]], "Empty Row")</f>
        <v>Empty Row</v>
      </c>
      <c r="E443" s="28" t="str">
        <f>IF(D443="Empty Row", "Empty Row",
   _xlfn.LET(
       _xlpm.lookupResult, _xlfn.XLOOKUP(D443, RawDataTable[Account Name and Number], RawDataTable[Investment Date], "MISSING VALUE"),
       IF(ISNUMBER(_xlpm.lookupResult), _xlpm.lookupResult, "INVALID VALUE")
   )
)</f>
        <v>Empty Row</v>
      </c>
      <c r="F443" s="29" t="str">
        <f>IF(D443="Empty Row", "Empty Row",
   _xlfn.LET(
       _xlpm.lookupResult, _xlfn.XLOOKUP(D443, RawDataTable[Account Name and Number], RawDataTable[Investment Amount], "MISSING VALUE"),
       IF(ISNUMBER(_xlpm.lookupResult), _xlpm.lookupResult, "INVALID VALUE")
   )
)</f>
        <v>Empty Row</v>
      </c>
      <c r="G443" s="28" t="str">
        <f t="shared" ca="1" si="6"/>
        <v>Empty Row</v>
      </c>
      <c r="H443" s="29" t="str">
        <f>IF(D443="Empty Row", "Empty Row",
   _xlfn.LET(
       _xlpm.lookupResult, _xlfn.XLOOKUP(D443, RawDataTable[Account Name and Number], RawDataTable[Valuation Amount], "MISSING VALUE"),
       IF(ISNUMBER(_xlpm.lookupResult), _xlpm.lookupResult, "INVALID VALUE")
   )
)</f>
        <v>Empty Row</v>
      </c>
      <c r="I443" s="2" t="str">
        <f>IF(D443="Empty Row", "Empty Row", IF(_xlfn.XLOOKUP(B443, MasterTable[IRA Custodian], MasterTable[Address], "")="", "NO STREET NAME FOUND", _xlfn.XLOOKUP(B443, MasterTable[IRA Custodian], MasterTable[Address], "")))</f>
        <v>Empty Row</v>
      </c>
      <c r="J443" s="2" t="str">
        <f>IF(D443="Empty Row", "Empty Row",
   IF(OR(
       _xlfn.XLOOKUP(B443, MasterTable[IRA Custodian], MasterTable[City], "")="",
       _xlfn.XLOOKUP(B443, MasterTable[IRA Custodian], MasterTable[State], "")="",
       _xlfn.XLOOKUP(B443, MasterTable[IRA Custodian], MasterTable[Zip], "")=""),
       "INCOMPLETE ADDRESS",
       _xlfn.CONCAT(
           _xlfn.XLOOKUP(B443, MasterTable[IRA Custodian], MasterTable[City], ""), ", ",
           _xlfn.XLOOKUP(B443, MasterTable[IRA Custodian], MasterTable[State], ""), " ",
           _xlfn.XLOOKUP(B443, MasterTable[IRA Custodian], MasterTable[Zip], "")
       )
   )
)</f>
        <v>Empty Row</v>
      </c>
    </row>
    <row r="444" spans="1:10" x14ac:dyDescent="0.25">
      <c r="A444" t="str">
        <f>IF(D444="Empty Row", "Empty Row",
   _xlfn.LET(
       _xlpm.lookupResult, _xlfn.XLOOKUP(D444, RawDataTable[Account Name and Number], RawDataTable[Entity], "RAW DATA MISSING"),
       IF(ISBLANK(_xlpm.lookupResult), "RAW DATA MISSING", _xlpm.lookupResult)
   )
)</f>
        <v>Empty Row</v>
      </c>
      <c r="B444" t="str">
        <f>IF(D444="Empty Row", "Empty Row",
   _xlfn.LET(
       _xlpm.rawDataLookup, _xlfn.XLOOKUP(D444,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44" s="56" t="str" cm="1">
        <f t="array" ref="C444">IF(D444="Empty Row", "Empty Row",
   IF(COUNTIF('Name Mapping'!H:AD, D444) &gt; 0,
      INDEX('Name Mapping'!F:F, MATCH(TRUE, MMULT(--('Name Mapping'!H:AD=D444), TRANSPOSE(COLUMN('Name Mapping'!H:AD)^0)) &gt; 0, 0)),
      "")
)</f>
        <v>Empty Row</v>
      </c>
      <c r="D444" t="str">
        <f>IF(RawDataTable[[#This Row],[Account Name and Number]]&lt;&gt;"", RawDataTable[[#This Row],[Account Name and Number]], "Empty Row")</f>
        <v>Empty Row</v>
      </c>
      <c r="E444" s="28" t="str">
        <f>IF(D444="Empty Row", "Empty Row",
   _xlfn.LET(
       _xlpm.lookupResult, _xlfn.XLOOKUP(D444, RawDataTable[Account Name and Number], RawDataTable[Investment Date], "MISSING VALUE"),
       IF(ISNUMBER(_xlpm.lookupResult), _xlpm.lookupResult, "INVALID VALUE")
   )
)</f>
        <v>Empty Row</v>
      </c>
      <c r="F444" s="29" t="str">
        <f>IF(D444="Empty Row", "Empty Row",
   _xlfn.LET(
       _xlpm.lookupResult, _xlfn.XLOOKUP(D444, RawDataTable[Account Name and Number], RawDataTable[Investment Amount], "MISSING VALUE"),
       IF(ISNUMBER(_xlpm.lookupResult), _xlpm.lookupResult, "INVALID VALUE")
   )
)</f>
        <v>Empty Row</v>
      </c>
      <c r="G444" s="28" t="str">
        <f t="shared" ca="1" si="6"/>
        <v>Empty Row</v>
      </c>
      <c r="H444" s="29" t="str">
        <f>IF(D444="Empty Row", "Empty Row",
   _xlfn.LET(
       _xlpm.lookupResult, _xlfn.XLOOKUP(D444, RawDataTable[Account Name and Number], RawDataTable[Valuation Amount], "MISSING VALUE"),
       IF(ISNUMBER(_xlpm.lookupResult), _xlpm.lookupResult, "INVALID VALUE")
   )
)</f>
        <v>Empty Row</v>
      </c>
      <c r="I444" s="2" t="str">
        <f>IF(D444="Empty Row", "Empty Row", IF(_xlfn.XLOOKUP(B444, MasterTable[IRA Custodian], MasterTable[Address], "")="", "NO STREET NAME FOUND", _xlfn.XLOOKUP(B444, MasterTable[IRA Custodian], MasterTable[Address], "")))</f>
        <v>Empty Row</v>
      </c>
      <c r="J444" s="2" t="str">
        <f>IF(D444="Empty Row", "Empty Row",
   IF(OR(
       _xlfn.XLOOKUP(B444, MasterTable[IRA Custodian], MasterTable[City], "")="",
       _xlfn.XLOOKUP(B444, MasterTable[IRA Custodian], MasterTable[State], "")="",
       _xlfn.XLOOKUP(B444, MasterTable[IRA Custodian], MasterTable[Zip], "")=""),
       "INCOMPLETE ADDRESS",
       _xlfn.CONCAT(
           _xlfn.XLOOKUP(B444, MasterTable[IRA Custodian], MasterTable[City], ""), ", ",
           _xlfn.XLOOKUP(B444, MasterTable[IRA Custodian], MasterTable[State], ""), " ",
           _xlfn.XLOOKUP(B444, MasterTable[IRA Custodian], MasterTable[Zip], "")
       )
   )
)</f>
        <v>Empty Row</v>
      </c>
    </row>
    <row r="445" spans="1:10" x14ac:dyDescent="0.25">
      <c r="A445" t="str">
        <f>IF(D445="Empty Row", "Empty Row",
   _xlfn.LET(
       _xlpm.lookupResult, _xlfn.XLOOKUP(D445, RawDataTable[Account Name and Number], RawDataTable[Entity], "RAW DATA MISSING"),
       IF(ISBLANK(_xlpm.lookupResult), "RAW DATA MISSING", _xlpm.lookupResult)
   )
)</f>
        <v>Empty Row</v>
      </c>
      <c r="B445" t="str">
        <f>IF(D445="Empty Row", "Empty Row",
   _xlfn.LET(
       _xlpm.rawDataLookup, _xlfn.XLOOKUP(D445,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45" s="56" t="str" cm="1">
        <f t="array" ref="C445">IF(D445="Empty Row", "Empty Row",
   IF(COUNTIF('Name Mapping'!H:AD, D445) &gt; 0,
      INDEX('Name Mapping'!F:F, MATCH(TRUE, MMULT(--('Name Mapping'!H:AD=D445), TRANSPOSE(COLUMN('Name Mapping'!H:AD)^0)) &gt; 0, 0)),
      "")
)</f>
        <v>Empty Row</v>
      </c>
      <c r="D445" t="str">
        <f>IF(RawDataTable[[#This Row],[Account Name and Number]]&lt;&gt;"", RawDataTable[[#This Row],[Account Name and Number]], "Empty Row")</f>
        <v>Empty Row</v>
      </c>
      <c r="E445" s="28" t="str">
        <f>IF(D445="Empty Row", "Empty Row",
   _xlfn.LET(
       _xlpm.lookupResult, _xlfn.XLOOKUP(D445, RawDataTable[Account Name and Number], RawDataTable[Investment Date], "MISSING VALUE"),
       IF(ISNUMBER(_xlpm.lookupResult), _xlpm.lookupResult, "INVALID VALUE")
   )
)</f>
        <v>Empty Row</v>
      </c>
      <c r="F445" s="29" t="str">
        <f>IF(D445="Empty Row", "Empty Row",
   _xlfn.LET(
       _xlpm.lookupResult, _xlfn.XLOOKUP(D445, RawDataTable[Account Name and Number], RawDataTable[Investment Amount], "MISSING VALUE"),
       IF(ISNUMBER(_xlpm.lookupResult), _xlpm.lookupResult, "INVALID VALUE")
   )
)</f>
        <v>Empty Row</v>
      </c>
      <c r="G445" s="28" t="str">
        <f t="shared" ca="1" si="6"/>
        <v>Empty Row</v>
      </c>
      <c r="H445" s="29" t="str">
        <f>IF(D445="Empty Row", "Empty Row",
   _xlfn.LET(
       _xlpm.lookupResult, _xlfn.XLOOKUP(D445, RawDataTable[Account Name and Number], RawDataTable[Valuation Amount], "MISSING VALUE"),
       IF(ISNUMBER(_xlpm.lookupResult), _xlpm.lookupResult, "INVALID VALUE")
   )
)</f>
        <v>Empty Row</v>
      </c>
      <c r="I445" s="2" t="str">
        <f>IF(D445="Empty Row", "Empty Row", IF(_xlfn.XLOOKUP(B445, MasterTable[IRA Custodian], MasterTable[Address], "")="", "NO STREET NAME FOUND", _xlfn.XLOOKUP(B445, MasterTable[IRA Custodian], MasterTable[Address], "")))</f>
        <v>Empty Row</v>
      </c>
      <c r="J445" s="2" t="str">
        <f>IF(D445="Empty Row", "Empty Row",
   IF(OR(
       _xlfn.XLOOKUP(B445, MasterTable[IRA Custodian], MasterTable[City], "")="",
       _xlfn.XLOOKUP(B445, MasterTable[IRA Custodian], MasterTable[State], "")="",
       _xlfn.XLOOKUP(B445, MasterTable[IRA Custodian], MasterTable[Zip], "")=""),
       "INCOMPLETE ADDRESS",
       _xlfn.CONCAT(
           _xlfn.XLOOKUP(B445, MasterTable[IRA Custodian], MasterTable[City], ""), ", ",
           _xlfn.XLOOKUP(B445, MasterTable[IRA Custodian], MasterTable[State], ""), " ",
           _xlfn.XLOOKUP(B445, MasterTable[IRA Custodian], MasterTable[Zip], "")
       )
   )
)</f>
        <v>Empty Row</v>
      </c>
    </row>
    <row r="446" spans="1:10" x14ac:dyDescent="0.25">
      <c r="A446" t="str">
        <f>IF(D446="Empty Row", "Empty Row",
   _xlfn.LET(
       _xlpm.lookupResult, _xlfn.XLOOKUP(D446, RawDataTable[Account Name and Number], RawDataTable[Entity], "RAW DATA MISSING"),
       IF(ISBLANK(_xlpm.lookupResult), "RAW DATA MISSING", _xlpm.lookupResult)
   )
)</f>
        <v>Empty Row</v>
      </c>
      <c r="B446" t="str">
        <f>IF(D446="Empty Row", "Empty Row",
   _xlfn.LET(
       _xlpm.rawDataLookup, _xlfn.XLOOKUP(D446,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46" s="56" t="str" cm="1">
        <f t="array" ref="C446">IF(D446="Empty Row", "Empty Row",
   IF(COUNTIF('Name Mapping'!H:AD, D446) &gt; 0,
      INDEX('Name Mapping'!F:F, MATCH(TRUE, MMULT(--('Name Mapping'!H:AD=D446), TRANSPOSE(COLUMN('Name Mapping'!H:AD)^0)) &gt; 0, 0)),
      "")
)</f>
        <v>Empty Row</v>
      </c>
      <c r="D446" t="str">
        <f>IF(RawDataTable[[#This Row],[Account Name and Number]]&lt;&gt;"", RawDataTable[[#This Row],[Account Name and Number]], "Empty Row")</f>
        <v>Empty Row</v>
      </c>
      <c r="E446" s="28" t="str">
        <f>IF(D446="Empty Row", "Empty Row",
   _xlfn.LET(
       _xlpm.lookupResult, _xlfn.XLOOKUP(D446, RawDataTable[Account Name and Number], RawDataTable[Investment Date], "MISSING VALUE"),
       IF(ISNUMBER(_xlpm.lookupResult), _xlpm.lookupResult, "INVALID VALUE")
   )
)</f>
        <v>Empty Row</v>
      </c>
      <c r="F446" s="29" t="str">
        <f>IF(D446="Empty Row", "Empty Row",
   _xlfn.LET(
       _xlpm.lookupResult, _xlfn.XLOOKUP(D446, RawDataTable[Account Name and Number], RawDataTable[Investment Amount], "MISSING VALUE"),
       IF(ISNUMBER(_xlpm.lookupResult), _xlpm.lookupResult, "INVALID VALUE")
   )
)</f>
        <v>Empty Row</v>
      </c>
      <c r="G446" s="28" t="str">
        <f t="shared" ca="1" si="6"/>
        <v>Empty Row</v>
      </c>
      <c r="H446" s="29" t="str">
        <f>IF(D446="Empty Row", "Empty Row",
   _xlfn.LET(
       _xlpm.lookupResult, _xlfn.XLOOKUP(D446, RawDataTable[Account Name and Number], RawDataTable[Valuation Amount], "MISSING VALUE"),
       IF(ISNUMBER(_xlpm.lookupResult), _xlpm.lookupResult, "INVALID VALUE")
   )
)</f>
        <v>Empty Row</v>
      </c>
      <c r="I446" s="2" t="str">
        <f>IF(D446="Empty Row", "Empty Row", IF(_xlfn.XLOOKUP(B446, MasterTable[IRA Custodian], MasterTable[Address], "")="", "NO STREET NAME FOUND", _xlfn.XLOOKUP(B446, MasterTable[IRA Custodian], MasterTable[Address], "")))</f>
        <v>Empty Row</v>
      </c>
      <c r="J446" s="2" t="str">
        <f>IF(D446="Empty Row", "Empty Row",
   IF(OR(
       _xlfn.XLOOKUP(B446, MasterTable[IRA Custodian], MasterTable[City], "")="",
       _xlfn.XLOOKUP(B446, MasterTable[IRA Custodian], MasterTable[State], "")="",
       _xlfn.XLOOKUP(B446, MasterTable[IRA Custodian], MasterTable[Zip], "")=""),
       "INCOMPLETE ADDRESS",
       _xlfn.CONCAT(
           _xlfn.XLOOKUP(B446, MasterTable[IRA Custodian], MasterTable[City], ""), ", ",
           _xlfn.XLOOKUP(B446, MasterTable[IRA Custodian], MasterTable[State], ""), " ",
           _xlfn.XLOOKUP(B446, MasterTable[IRA Custodian], MasterTable[Zip], "")
       )
   )
)</f>
        <v>Empty Row</v>
      </c>
    </row>
    <row r="447" spans="1:10" x14ac:dyDescent="0.25">
      <c r="A447" t="str">
        <f>IF(D447="Empty Row", "Empty Row",
   _xlfn.LET(
       _xlpm.lookupResult, _xlfn.XLOOKUP(D447, RawDataTable[Account Name and Number], RawDataTable[Entity], "RAW DATA MISSING"),
       IF(ISBLANK(_xlpm.lookupResult), "RAW DATA MISSING", _xlpm.lookupResult)
   )
)</f>
        <v>Empty Row</v>
      </c>
      <c r="B447" t="str">
        <f>IF(D447="Empty Row", "Empty Row",
   _xlfn.LET(
       _xlpm.rawDataLookup, _xlfn.XLOOKUP(D447,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47" s="56" t="str" cm="1">
        <f t="array" ref="C447">IF(D447="Empty Row", "Empty Row",
   IF(COUNTIF('Name Mapping'!H:AD, D447) &gt; 0,
      INDEX('Name Mapping'!F:F, MATCH(TRUE, MMULT(--('Name Mapping'!H:AD=D447), TRANSPOSE(COLUMN('Name Mapping'!H:AD)^0)) &gt; 0, 0)),
      "")
)</f>
        <v>Empty Row</v>
      </c>
      <c r="D447" t="str">
        <f>IF(RawDataTable[[#This Row],[Account Name and Number]]&lt;&gt;"", RawDataTable[[#This Row],[Account Name and Number]], "Empty Row")</f>
        <v>Empty Row</v>
      </c>
      <c r="E447" s="28" t="str">
        <f>IF(D447="Empty Row", "Empty Row",
   _xlfn.LET(
       _xlpm.lookupResult, _xlfn.XLOOKUP(D447, RawDataTable[Account Name and Number], RawDataTable[Investment Date], "MISSING VALUE"),
       IF(ISNUMBER(_xlpm.lookupResult), _xlpm.lookupResult, "INVALID VALUE")
   )
)</f>
        <v>Empty Row</v>
      </c>
      <c r="F447" s="29" t="str">
        <f>IF(D447="Empty Row", "Empty Row",
   _xlfn.LET(
       _xlpm.lookupResult, _xlfn.XLOOKUP(D447, RawDataTable[Account Name and Number], RawDataTable[Investment Amount], "MISSING VALUE"),
       IF(ISNUMBER(_xlpm.lookupResult), _xlpm.lookupResult, "INVALID VALUE")
   )
)</f>
        <v>Empty Row</v>
      </c>
      <c r="G447" s="28" t="str">
        <f t="shared" ca="1" si="6"/>
        <v>Empty Row</v>
      </c>
      <c r="H447" s="29" t="str">
        <f>IF(D447="Empty Row", "Empty Row",
   _xlfn.LET(
       _xlpm.lookupResult, _xlfn.XLOOKUP(D447, RawDataTable[Account Name and Number], RawDataTable[Valuation Amount], "MISSING VALUE"),
       IF(ISNUMBER(_xlpm.lookupResult), _xlpm.lookupResult, "INVALID VALUE")
   )
)</f>
        <v>Empty Row</v>
      </c>
      <c r="I447" s="2" t="str">
        <f>IF(D447="Empty Row", "Empty Row", IF(_xlfn.XLOOKUP(B447, MasterTable[IRA Custodian], MasterTable[Address], "")="", "NO STREET NAME FOUND", _xlfn.XLOOKUP(B447, MasterTable[IRA Custodian], MasterTable[Address], "")))</f>
        <v>Empty Row</v>
      </c>
      <c r="J447" s="2" t="str">
        <f>IF(D447="Empty Row", "Empty Row",
   IF(OR(
       _xlfn.XLOOKUP(B447, MasterTable[IRA Custodian], MasterTable[City], "")="",
       _xlfn.XLOOKUP(B447, MasterTable[IRA Custodian], MasterTable[State], "")="",
       _xlfn.XLOOKUP(B447, MasterTable[IRA Custodian], MasterTable[Zip], "")=""),
       "INCOMPLETE ADDRESS",
       _xlfn.CONCAT(
           _xlfn.XLOOKUP(B447, MasterTable[IRA Custodian], MasterTable[City], ""), ", ",
           _xlfn.XLOOKUP(B447, MasterTable[IRA Custodian], MasterTable[State], ""), " ",
           _xlfn.XLOOKUP(B447, MasterTable[IRA Custodian], MasterTable[Zip], "")
       )
   )
)</f>
        <v>Empty Row</v>
      </c>
    </row>
    <row r="448" spans="1:10" x14ac:dyDescent="0.25">
      <c r="A448" t="str">
        <f>IF(D448="Empty Row", "Empty Row",
   _xlfn.LET(
       _xlpm.lookupResult, _xlfn.XLOOKUP(D448, RawDataTable[Account Name and Number], RawDataTable[Entity], "RAW DATA MISSING"),
       IF(ISBLANK(_xlpm.lookupResult), "RAW DATA MISSING", _xlpm.lookupResult)
   )
)</f>
        <v>Empty Row</v>
      </c>
      <c r="B448" t="str">
        <f>IF(D448="Empty Row", "Empty Row",
   _xlfn.LET(
       _xlpm.rawDataLookup, _xlfn.XLOOKUP(D448,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48" s="56" t="str" cm="1">
        <f t="array" ref="C448">IF(D448="Empty Row", "Empty Row",
   IF(COUNTIF('Name Mapping'!H:AD, D448) &gt; 0,
      INDEX('Name Mapping'!F:F, MATCH(TRUE, MMULT(--('Name Mapping'!H:AD=D448), TRANSPOSE(COLUMN('Name Mapping'!H:AD)^0)) &gt; 0, 0)),
      "")
)</f>
        <v>Empty Row</v>
      </c>
      <c r="D448" t="str">
        <f>IF(RawDataTable[[#This Row],[Account Name and Number]]&lt;&gt;"", RawDataTable[[#This Row],[Account Name and Number]], "Empty Row")</f>
        <v>Empty Row</v>
      </c>
      <c r="E448" s="28" t="str">
        <f>IF(D448="Empty Row", "Empty Row",
   _xlfn.LET(
       _xlpm.lookupResult, _xlfn.XLOOKUP(D448, RawDataTable[Account Name and Number], RawDataTable[Investment Date], "MISSING VALUE"),
       IF(ISNUMBER(_xlpm.lookupResult), _xlpm.lookupResult, "INVALID VALUE")
   )
)</f>
        <v>Empty Row</v>
      </c>
      <c r="F448" s="29" t="str">
        <f>IF(D448="Empty Row", "Empty Row",
   _xlfn.LET(
       _xlpm.lookupResult, _xlfn.XLOOKUP(D448, RawDataTable[Account Name and Number], RawDataTable[Investment Amount], "MISSING VALUE"),
       IF(ISNUMBER(_xlpm.lookupResult), _xlpm.lookupResult, "INVALID VALUE")
   )
)</f>
        <v>Empty Row</v>
      </c>
      <c r="G448" s="28" t="str">
        <f t="shared" ca="1" si="6"/>
        <v>Empty Row</v>
      </c>
      <c r="H448" s="29" t="str">
        <f>IF(D448="Empty Row", "Empty Row",
   _xlfn.LET(
       _xlpm.lookupResult, _xlfn.XLOOKUP(D448, RawDataTable[Account Name and Number], RawDataTable[Valuation Amount], "MISSING VALUE"),
       IF(ISNUMBER(_xlpm.lookupResult), _xlpm.lookupResult, "INVALID VALUE")
   )
)</f>
        <v>Empty Row</v>
      </c>
      <c r="I448" s="2" t="str">
        <f>IF(D448="Empty Row", "Empty Row", IF(_xlfn.XLOOKUP(B448, MasterTable[IRA Custodian], MasterTable[Address], "")="", "NO STREET NAME FOUND", _xlfn.XLOOKUP(B448, MasterTable[IRA Custodian], MasterTable[Address], "")))</f>
        <v>Empty Row</v>
      </c>
      <c r="J448" s="2" t="str">
        <f>IF(D448="Empty Row", "Empty Row",
   IF(OR(
       _xlfn.XLOOKUP(B448, MasterTable[IRA Custodian], MasterTable[City], "")="",
       _xlfn.XLOOKUP(B448, MasterTable[IRA Custodian], MasterTable[State], "")="",
       _xlfn.XLOOKUP(B448, MasterTable[IRA Custodian], MasterTable[Zip], "")=""),
       "INCOMPLETE ADDRESS",
       _xlfn.CONCAT(
           _xlfn.XLOOKUP(B448, MasterTable[IRA Custodian], MasterTable[City], ""), ", ",
           _xlfn.XLOOKUP(B448, MasterTable[IRA Custodian], MasterTable[State], ""), " ",
           _xlfn.XLOOKUP(B448, MasterTable[IRA Custodian], MasterTable[Zip], "")
       )
   )
)</f>
        <v>Empty Row</v>
      </c>
    </row>
    <row r="449" spans="1:10" x14ac:dyDescent="0.25">
      <c r="A449" t="str">
        <f>IF(D449="Empty Row", "Empty Row",
   _xlfn.LET(
       _xlpm.lookupResult, _xlfn.XLOOKUP(D449, RawDataTable[Account Name and Number], RawDataTable[Entity], "RAW DATA MISSING"),
       IF(ISBLANK(_xlpm.lookupResult), "RAW DATA MISSING", _xlpm.lookupResult)
   )
)</f>
        <v>Empty Row</v>
      </c>
      <c r="B449" t="str">
        <f>IF(D449="Empty Row", "Empty Row",
   _xlfn.LET(
       _xlpm.rawDataLookup, _xlfn.XLOOKUP(D449,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49" s="56" t="str" cm="1">
        <f t="array" ref="C449">IF(D449="Empty Row", "Empty Row",
   IF(COUNTIF('Name Mapping'!H:AD, D449) &gt; 0,
      INDEX('Name Mapping'!F:F, MATCH(TRUE, MMULT(--('Name Mapping'!H:AD=D449), TRANSPOSE(COLUMN('Name Mapping'!H:AD)^0)) &gt; 0, 0)),
      "")
)</f>
        <v>Empty Row</v>
      </c>
      <c r="D449" t="str">
        <f>IF(RawDataTable[[#This Row],[Account Name and Number]]&lt;&gt;"", RawDataTable[[#This Row],[Account Name and Number]], "Empty Row")</f>
        <v>Empty Row</v>
      </c>
      <c r="E449" s="28" t="str">
        <f>IF(D449="Empty Row", "Empty Row",
   _xlfn.LET(
       _xlpm.lookupResult, _xlfn.XLOOKUP(D449, RawDataTable[Account Name and Number], RawDataTable[Investment Date], "MISSING VALUE"),
       IF(ISNUMBER(_xlpm.lookupResult), _xlpm.lookupResult, "INVALID VALUE")
   )
)</f>
        <v>Empty Row</v>
      </c>
      <c r="F449" s="29" t="str">
        <f>IF(D449="Empty Row", "Empty Row",
   _xlfn.LET(
       _xlpm.lookupResult, _xlfn.XLOOKUP(D449, RawDataTable[Account Name and Number], RawDataTable[Investment Amount], "MISSING VALUE"),
       IF(ISNUMBER(_xlpm.lookupResult), _xlpm.lookupResult, "INVALID VALUE")
   )
)</f>
        <v>Empty Row</v>
      </c>
      <c r="G449" s="28" t="str">
        <f t="shared" ca="1" si="6"/>
        <v>Empty Row</v>
      </c>
      <c r="H449" s="29" t="str">
        <f>IF(D449="Empty Row", "Empty Row",
   _xlfn.LET(
       _xlpm.lookupResult, _xlfn.XLOOKUP(D449, RawDataTable[Account Name and Number], RawDataTable[Valuation Amount], "MISSING VALUE"),
       IF(ISNUMBER(_xlpm.lookupResult), _xlpm.lookupResult, "INVALID VALUE")
   )
)</f>
        <v>Empty Row</v>
      </c>
      <c r="I449" s="2" t="str">
        <f>IF(D449="Empty Row", "Empty Row", IF(_xlfn.XLOOKUP(B449, MasterTable[IRA Custodian], MasterTable[Address], "")="", "NO STREET NAME FOUND", _xlfn.XLOOKUP(B449, MasterTable[IRA Custodian], MasterTable[Address], "")))</f>
        <v>Empty Row</v>
      </c>
      <c r="J449" s="2" t="str">
        <f>IF(D449="Empty Row", "Empty Row",
   IF(OR(
       _xlfn.XLOOKUP(B449, MasterTable[IRA Custodian], MasterTable[City], "")="",
       _xlfn.XLOOKUP(B449, MasterTable[IRA Custodian], MasterTable[State], "")="",
       _xlfn.XLOOKUP(B449, MasterTable[IRA Custodian], MasterTable[Zip], "")=""),
       "INCOMPLETE ADDRESS",
       _xlfn.CONCAT(
           _xlfn.XLOOKUP(B449, MasterTable[IRA Custodian], MasterTable[City], ""), ", ",
           _xlfn.XLOOKUP(B449, MasterTable[IRA Custodian], MasterTable[State], ""), " ",
           _xlfn.XLOOKUP(B449, MasterTable[IRA Custodian], MasterTable[Zip], "")
       )
   )
)</f>
        <v>Empty Row</v>
      </c>
    </row>
    <row r="450" spans="1:10" x14ac:dyDescent="0.25">
      <c r="A450" t="str">
        <f>IF(D450="Empty Row", "Empty Row",
   _xlfn.LET(
       _xlpm.lookupResult, _xlfn.XLOOKUP(D450, RawDataTable[Account Name and Number], RawDataTable[Entity], "RAW DATA MISSING"),
       IF(ISBLANK(_xlpm.lookupResult), "RAW DATA MISSING", _xlpm.lookupResult)
   )
)</f>
        <v>Empty Row</v>
      </c>
      <c r="B450" t="str">
        <f>IF(D450="Empty Row", "Empty Row",
   _xlfn.LET(
       _xlpm.rawDataLookup, _xlfn.XLOOKUP(D450,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50" s="56" t="str" cm="1">
        <f t="array" ref="C450">IF(D450="Empty Row", "Empty Row",
   IF(COUNTIF('Name Mapping'!H:AD, D450) &gt; 0,
      INDEX('Name Mapping'!F:F, MATCH(TRUE, MMULT(--('Name Mapping'!H:AD=D450), TRANSPOSE(COLUMN('Name Mapping'!H:AD)^0)) &gt; 0, 0)),
      "")
)</f>
        <v>Empty Row</v>
      </c>
      <c r="D450" t="str">
        <f>IF(RawDataTable[[#This Row],[Account Name and Number]]&lt;&gt;"", RawDataTable[[#This Row],[Account Name and Number]], "Empty Row")</f>
        <v>Empty Row</v>
      </c>
      <c r="E450" s="28" t="str">
        <f>IF(D450="Empty Row", "Empty Row",
   _xlfn.LET(
       _xlpm.lookupResult, _xlfn.XLOOKUP(D450, RawDataTable[Account Name and Number], RawDataTable[Investment Date], "MISSING VALUE"),
       IF(ISNUMBER(_xlpm.lookupResult), _xlpm.lookupResult, "INVALID VALUE")
   )
)</f>
        <v>Empty Row</v>
      </c>
      <c r="F450" s="29" t="str">
        <f>IF(D450="Empty Row", "Empty Row",
   _xlfn.LET(
       _xlpm.lookupResult, _xlfn.XLOOKUP(D450, RawDataTable[Account Name and Number], RawDataTable[Investment Amount], "MISSING VALUE"),
       IF(ISNUMBER(_xlpm.lookupResult), _xlpm.lookupResult, "INVALID VALUE")
   )
)</f>
        <v>Empty Row</v>
      </c>
      <c r="G450" s="28" t="str">
        <f t="shared" ca="1" si="6"/>
        <v>Empty Row</v>
      </c>
      <c r="H450" s="29" t="str">
        <f>IF(D450="Empty Row", "Empty Row",
   _xlfn.LET(
       _xlpm.lookupResult, _xlfn.XLOOKUP(D450, RawDataTable[Account Name and Number], RawDataTable[Valuation Amount], "MISSING VALUE"),
       IF(ISNUMBER(_xlpm.lookupResult), _xlpm.lookupResult, "INVALID VALUE")
   )
)</f>
        <v>Empty Row</v>
      </c>
      <c r="I450" s="2" t="str">
        <f>IF(D450="Empty Row", "Empty Row", IF(_xlfn.XLOOKUP(B450, MasterTable[IRA Custodian], MasterTable[Address], "")="", "NO STREET NAME FOUND", _xlfn.XLOOKUP(B450, MasterTable[IRA Custodian], MasterTable[Address], "")))</f>
        <v>Empty Row</v>
      </c>
      <c r="J450" s="2" t="str">
        <f>IF(D450="Empty Row", "Empty Row",
   IF(OR(
       _xlfn.XLOOKUP(B450, MasterTable[IRA Custodian], MasterTable[City], "")="",
       _xlfn.XLOOKUP(B450, MasterTable[IRA Custodian], MasterTable[State], "")="",
       _xlfn.XLOOKUP(B450, MasterTable[IRA Custodian], MasterTable[Zip], "")=""),
       "INCOMPLETE ADDRESS",
       _xlfn.CONCAT(
           _xlfn.XLOOKUP(B450, MasterTable[IRA Custodian], MasterTable[City], ""), ", ",
           _xlfn.XLOOKUP(B450, MasterTable[IRA Custodian], MasterTable[State], ""), " ",
           _xlfn.XLOOKUP(B450, MasterTable[IRA Custodian], MasterTable[Zip], "")
       )
   )
)</f>
        <v>Empty Row</v>
      </c>
    </row>
    <row r="451" spans="1:10" x14ac:dyDescent="0.25">
      <c r="A451" t="str">
        <f>IF(D451="Empty Row", "Empty Row",
   _xlfn.LET(
       _xlpm.lookupResult, _xlfn.XLOOKUP(D451, RawDataTable[Account Name and Number], RawDataTable[Entity], "RAW DATA MISSING"),
       IF(ISBLANK(_xlpm.lookupResult), "RAW DATA MISSING", _xlpm.lookupResult)
   )
)</f>
        <v>Empty Row</v>
      </c>
      <c r="B451" t="str">
        <f>IF(D451="Empty Row", "Empty Row",
   _xlfn.LET(
       _xlpm.rawDataLookup, _xlfn.XLOOKUP(D451,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51" s="56" t="str" cm="1">
        <f t="array" ref="C451">IF(D451="Empty Row", "Empty Row",
   IF(COUNTIF('Name Mapping'!H:AD, D451) &gt; 0,
      INDEX('Name Mapping'!F:F, MATCH(TRUE, MMULT(--('Name Mapping'!H:AD=D451), TRANSPOSE(COLUMN('Name Mapping'!H:AD)^0)) &gt; 0, 0)),
      "")
)</f>
        <v>Empty Row</v>
      </c>
      <c r="D451" t="str">
        <f>IF(RawDataTable[[#This Row],[Account Name and Number]]&lt;&gt;"", RawDataTable[[#This Row],[Account Name and Number]], "Empty Row")</f>
        <v>Empty Row</v>
      </c>
      <c r="E451" s="28" t="str">
        <f>IF(D451="Empty Row", "Empty Row",
   _xlfn.LET(
       _xlpm.lookupResult, _xlfn.XLOOKUP(D451, RawDataTable[Account Name and Number], RawDataTable[Investment Date], "MISSING VALUE"),
       IF(ISNUMBER(_xlpm.lookupResult), _xlpm.lookupResult, "INVALID VALUE")
   )
)</f>
        <v>Empty Row</v>
      </c>
      <c r="F451" s="29" t="str">
        <f>IF(D451="Empty Row", "Empty Row",
   _xlfn.LET(
       _xlpm.lookupResult, _xlfn.XLOOKUP(D451, RawDataTable[Account Name and Number], RawDataTable[Investment Amount], "MISSING VALUE"),
       IF(ISNUMBER(_xlpm.lookupResult), _xlpm.lookupResult, "INVALID VALUE")
   )
)</f>
        <v>Empty Row</v>
      </c>
      <c r="G451" s="28" t="str">
        <f t="shared" ref="G451:G500" ca="1" si="7">IF(D451="Empty Row", "Empty Row",
   IF(ISNUMBER(TODAY()), TODAY(), "INVALID VALUE")
)</f>
        <v>Empty Row</v>
      </c>
      <c r="H451" s="29" t="str">
        <f>IF(D451="Empty Row", "Empty Row",
   _xlfn.LET(
       _xlpm.lookupResult, _xlfn.XLOOKUP(D451, RawDataTable[Account Name and Number], RawDataTable[Valuation Amount], "MISSING VALUE"),
       IF(ISNUMBER(_xlpm.lookupResult), _xlpm.lookupResult, "INVALID VALUE")
   )
)</f>
        <v>Empty Row</v>
      </c>
      <c r="I451" s="2" t="str">
        <f>IF(D451="Empty Row", "Empty Row", IF(_xlfn.XLOOKUP(B451, MasterTable[IRA Custodian], MasterTable[Address], "")="", "NO STREET NAME FOUND", _xlfn.XLOOKUP(B451, MasterTable[IRA Custodian], MasterTable[Address], "")))</f>
        <v>Empty Row</v>
      </c>
      <c r="J451" s="2" t="str">
        <f>IF(D451="Empty Row", "Empty Row",
   IF(OR(
       _xlfn.XLOOKUP(B451, MasterTable[IRA Custodian], MasterTable[City], "")="",
       _xlfn.XLOOKUP(B451, MasterTable[IRA Custodian], MasterTable[State], "")="",
       _xlfn.XLOOKUP(B451, MasterTable[IRA Custodian], MasterTable[Zip], "")=""),
       "INCOMPLETE ADDRESS",
       _xlfn.CONCAT(
           _xlfn.XLOOKUP(B451, MasterTable[IRA Custodian], MasterTable[City], ""), ", ",
           _xlfn.XLOOKUP(B451, MasterTable[IRA Custodian], MasterTable[State], ""), " ",
           _xlfn.XLOOKUP(B451, MasterTable[IRA Custodian], MasterTable[Zip], "")
       )
   )
)</f>
        <v>Empty Row</v>
      </c>
    </row>
    <row r="452" spans="1:10" x14ac:dyDescent="0.25">
      <c r="A452" t="str">
        <f>IF(D452="Empty Row", "Empty Row",
   _xlfn.LET(
       _xlpm.lookupResult, _xlfn.XLOOKUP(D452, RawDataTable[Account Name and Number], RawDataTable[Entity], "RAW DATA MISSING"),
       IF(ISBLANK(_xlpm.lookupResult), "RAW DATA MISSING", _xlpm.lookupResult)
   )
)</f>
        <v>Empty Row</v>
      </c>
      <c r="B452" t="str">
        <f>IF(D452="Empty Row", "Empty Row",
   _xlfn.LET(
       _xlpm.rawDataLookup, _xlfn.XLOOKUP(D452,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52" s="56" t="str" cm="1">
        <f t="array" ref="C452">IF(D452="Empty Row", "Empty Row",
   IF(COUNTIF('Name Mapping'!H:AD, D452) &gt; 0,
      INDEX('Name Mapping'!F:F, MATCH(TRUE, MMULT(--('Name Mapping'!H:AD=D452), TRANSPOSE(COLUMN('Name Mapping'!H:AD)^0)) &gt; 0, 0)),
      "")
)</f>
        <v>Empty Row</v>
      </c>
      <c r="D452" t="str">
        <f>IF(RawDataTable[[#This Row],[Account Name and Number]]&lt;&gt;"", RawDataTable[[#This Row],[Account Name and Number]], "Empty Row")</f>
        <v>Empty Row</v>
      </c>
      <c r="E452" s="28" t="str">
        <f>IF(D452="Empty Row", "Empty Row",
   _xlfn.LET(
       _xlpm.lookupResult, _xlfn.XLOOKUP(D452, RawDataTable[Account Name and Number], RawDataTable[Investment Date], "MISSING VALUE"),
       IF(ISNUMBER(_xlpm.lookupResult), _xlpm.lookupResult, "INVALID VALUE")
   )
)</f>
        <v>Empty Row</v>
      </c>
      <c r="F452" s="29" t="str">
        <f>IF(D452="Empty Row", "Empty Row",
   _xlfn.LET(
       _xlpm.lookupResult, _xlfn.XLOOKUP(D452, RawDataTable[Account Name and Number], RawDataTable[Investment Amount], "MISSING VALUE"),
       IF(ISNUMBER(_xlpm.lookupResult), _xlpm.lookupResult, "INVALID VALUE")
   )
)</f>
        <v>Empty Row</v>
      </c>
      <c r="G452" s="28" t="str">
        <f t="shared" ca="1" si="7"/>
        <v>Empty Row</v>
      </c>
      <c r="H452" s="29" t="str">
        <f>IF(D452="Empty Row", "Empty Row",
   _xlfn.LET(
       _xlpm.lookupResult, _xlfn.XLOOKUP(D452, RawDataTable[Account Name and Number], RawDataTable[Valuation Amount], "MISSING VALUE"),
       IF(ISNUMBER(_xlpm.lookupResult), _xlpm.lookupResult, "INVALID VALUE")
   )
)</f>
        <v>Empty Row</v>
      </c>
      <c r="I452" s="2" t="str">
        <f>IF(D452="Empty Row", "Empty Row", IF(_xlfn.XLOOKUP(B452, MasterTable[IRA Custodian], MasterTable[Address], "")="", "NO STREET NAME FOUND", _xlfn.XLOOKUP(B452, MasterTable[IRA Custodian], MasterTable[Address], "")))</f>
        <v>Empty Row</v>
      </c>
      <c r="J452" s="2" t="str">
        <f>IF(D452="Empty Row", "Empty Row",
   IF(OR(
       _xlfn.XLOOKUP(B452, MasterTable[IRA Custodian], MasterTable[City], "")="",
       _xlfn.XLOOKUP(B452, MasterTable[IRA Custodian], MasterTable[State], "")="",
       _xlfn.XLOOKUP(B452, MasterTable[IRA Custodian], MasterTable[Zip], "")=""),
       "INCOMPLETE ADDRESS",
       _xlfn.CONCAT(
           _xlfn.XLOOKUP(B452, MasterTable[IRA Custodian], MasterTable[City], ""), ", ",
           _xlfn.XLOOKUP(B452, MasterTable[IRA Custodian], MasterTable[State], ""), " ",
           _xlfn.XLOOKUP(B452, MasterTable[IRA Custodian], MasterTable[Zip], "")
       )
   )
)</f>
        <v>Empty Row</v>
      </c>
    </row>
    <row r="453" spans="1:10" x14ac:dyDescent="0.25">
      <c r="A453" t="str">
        <f>IF(D453="Empty Row", "Empty Row",
   _xlfn.LET(
       _xlpm.lookupResult, _xlfn.XLOOKUP(D453, RawDataTable[Account Name and Number], RawDataTable[Entity], "RAW DATA MISSING"),
       IF(ISBLANK(_xlpm.lookupResult), "RAW DATA MISSING", _xlpm.lookupResult)
   )
)</f>
        <v>Empty Row</v>
      </c>
      <c r="B453" t="str">
        <f>IF(D453="Empty Row", "Empty Row",
   _xlfn.LET(
       _xlpm.rawDataLookup, _xlfn.XLOOKUP(D453,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53" s="56" t="str" cm="1">
        <f t="array" ref="C453">IF(D453="Empty Row", "Empty Row",
   IF(COUNTIF('Name Mapping'!H:AD, D453) &gt; 0,
      INDEX('Name Mapping'!F:F, MATCH(TRUE, MMULT(--('Name Mapping'!H:AD=D453), TRANSPOSE(COLUMN('Name Mapping'!H:AD)^0)) &gt; 0, 0)),
      "")
)</f>
        <v>Empty Row</v>
      </c>
      <c r="D453" t="str">
        <f>IF(RawDataTable[[#This Row],[Account Name and Number]]&lt;&gt;"", RawDataTable[[#This Row],[Account Name and Number]], "Empty Row")</f>
        <v>Empty Row</v>
      </c>
      <c r="E453" s="28" t="str">
        <f>IF(D453="Empty Row", "Empty Row",
   _xlfn.LET(
       _xlpm.lookupResult, _xlfn.XLOOKUP(D453, RawDataTable[Account Name and Number], RawDataTable[Investment Date], "MISSING VALUE"),
       IF(ISNUMBER(_xlpm.lookupResult), _xlpm.lookupResult, "INVALID VALUE")
   )
)</f>
        <v>Empty Row</v>
      </c>
      <c r="F453" s="29" t="str">
        <f>IF(D453="Empty Row", "Empty Row",
   _xlfn.LET(
       _xlpm.lookupResult, _xlfn.XLOOKUP(D453, RawDataTable[Account Name and Number], RawDataTable[Investment Amount], "MISSING VALUE"),
       IF(ISNUMBER(_xlpm.lookupResult), _xlpm.lookupResult, "INVALID VALUE")
   )
)</f>
        <v>Empty Row</v>
      </c>
      <c r="G453" s="28" t="str">
        <f t="shared" ca="1" si="7"/>
        <v>Empty Row</v>
      </c>
      <c r="H453" s="29" t="str">
        <f>IF(D453="Empty Row", "Empty Row",
   _xlfn.LET(
       _xlpm.lookupResult, _xlfn.XLOOKUP(D453, RawDataTable[Account Name and Number], RawDataTable[Valuation Amount], "MISSING VALUE"),
       IF(ISNUMBER(_xlpm.lookupResult), _xlpm.lookupResult, "INVALID VALUE")
   )
)</f>
        <v>Empty Row</v>
      </c>
      <c r="I453" s="2" t="str">
        <f>IF(D453="Empty Row", "Empty Row", IF(_xlfn.XLOOKUP(B453, MasterTable[IRA Custodian], MasterTable[Address], "")="", "NO STREET NAME FOUND", _xlfn.XLOOKUP(B453, MasterTable[IRA Custodian], MasterTable[Address], "")))</f>
        <v>Empty Row</v>
      </c>
      <c r="J453" s="2" t="str">
        <f>IF(D453="Empty Row", "Empty Row",
   IF(OR(
       _xlfn.XLOOKUP(B453, MasterTable[IRA Custodian], MasterTable[City], "")="",
       _xlfn.XLOOKUP(B453, MasterTable[IRA Custodian], MasterTable[State], "")="",
       _xlfn.XLOOKUP(B453, MasterTable[IRA Custodian], MasterTable[Zip], "")=""),
       "INCOMPLETE ADDRESS",
       _xlfn.CONCAT(
           _xlfn.XLOOKUP(B453, MasterTable[IRA Custodian], MasterTable[City], ""), ", ",
           _xlfn.XLOOKUP(B453, MasterTable[IRA Custodian], MasterTable[State], ""), " ",
           _xlfn.XLOOKUP(B453, MasterTable[IRA Custodian], MasterTable[Zip], "")
       )
   )
)</f>
        <v>Empty Row</v>
      </c>
    </row>
    <row r="454" spans="1:10" x14ac:dyDescent="0.25">
      <c r="A454" t="str">
        <f>IF(D454="Empty Row", "Empty Row",
   _xlfn.LET(
       _xlpm.lookupResult, _xlfn.XLOOKUP(D454, RawDataTable[Account Name and Number], RawDataTable[Entity], "RAW DATA MISSING"),
       IF(ISBLANK(_xlpm.lookupResult), "RAW DATA MISSING", _xlpm.lookupResult)
   )
)</f>
        <v>Empty Row</v>
      </c>
      <c r="B454" t="str">
        <f>IF(D454="Empty Row", "Empty Row",
   _xlfn.LET(
       _xlpm.rawDataLookup, _xlfn.XLOOKUP(D454,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54" s="56" t="str" cm="1">
        <f t="array" ref="C454">IF(D454="Empty Row", "Empty Row",
   IF(COUNTIF('Name Mapping'!H:AD, D454) &gt; 0,
      INDEX('Name Mapping'!F:F, MATCH(TRUE, MMULT(--('Name Mapping'!H:AD=D454), TRANSPOSE(COLUMN('Name Mapping'!H:AD)^0)) &gt; 0, 0)),
      "")
)</f>
        <v>Empty Row</v>
      </c>
      <c r="D454" t="str">
        <f>IF(RawDataTable[[#This Row],[Account Name and Number]]&lt;&gt;"", RawDataTable[[#This Row],[Account Name and Number]], "Empty Row")</f>
        <v>Empty Row</v>
      </c>
      <c r="E454" s="28" t="str">
        <f>IF(D454="Empty Row", "Empty Row",
   _xlfn.LET(
       _xlpm.lookupResult, _xlfn.XLOOKUP(D454, RawDataTable[Account Name and Number], RawDataTable[Investment Date], "MISSING VALUE"),
       IF(ISNUMBER(_xlpm.lookupResult), _xlpm.lookupResult, "INVALID VALUE")
   )
)</f>
        <v>Empty Row</v>
      </c>
      <c r="F454" s="29" t="str">
        <f>IF(D454="Empty Row", "Empty Row",
   _xlfn.LET(
       _xlpm.lookupResult, _xlfn.XLOOKUP(D454, RawDataTable[Account Name and Number], RawDataTable[Investment Amount], "MISSING VALUE"),
       IF(ISNUMBER(_xlpm.lookupResult), _xlpm.lookupResult, "INVALID VALUE")
   )
)</f>
        <v>Empty Row</v>
      </c>
      <c r="G454" s="28" t="str">
        <f t="shared" ca="1" si="7"/>
        <v>Empty Row</v>
      </c>
      <c r="H454" s="29" t="str">
        <f>IF(D454="Empty Row", "Empty Row",
   _xlfn.LET(
       _xlpm.lookupResult, _xlfn.XLOOKUP(D454, RawDataTable[Account Name and Number], RawDataTable[Valuation Amount], "MISSING VALUE"),
       IF(ISNUMBER(_xlpm.lookupResult), _xlpm.lookupResult, "INVALID VALUE")
   )
)</f>
        <v>Empty Row</v>
      </c>
      <c r="I454" s="2" t="str">
        <f>IF(D454="Empty Row", "Empty Row", IF(_xlfn.XLOOKUP(B454, MasterTable[IRA Custodian], MasterTable[Address], "")="", "NO STREET NAME FOUND", _xlfn.XLOOKUP(B454, MasterTable[IRA Custodian], MasterTable[Address], "")))</f>
        <v>Empty Row</v>
      </c>
      <c r="J454" s="2" t="str">
        <f>IF(D454="Empty Row", "Empty Row",
   IF(OR(
       _xlfn.XLOOKUP(B454, MasterTable[IRA Custodian], MasterTable[City], "")="",
       _xlfn.XLOOKUP(B454, MasterTable[IRA Custodian], MasterTable[State], "")="",
       _xlfn.XLOOKUP(B454, MasterTable[IRA Custodian], MasterTable[Zip], "")=""),
       "INCOMPLETE ADDRESS",
       _xlfn.CONCAT(
           _xlfn.XLOOKUP(B454, MasterTable[IRA Custodian], MasterTable[City], ""), ", ",
           _xlfn.XLOOKUP(B454, MasterTable[IRA Custodian], MasterTable[State], ""), " ",
           _xlfn.XLOOKUP(B454, MasterTable[IRA Custodian], MasterTable[Zip], "")
       )
   )
)</f>
        <v>Empty Row</v>
      </c>
    </row>
    <row r="455" spans="1:10" x14ac:dyDescent="0.25">
      <c r="A455" t="str">
        <f>IF(D455="Empty Row", "Empty Row",
   _xlfn.LET(
       _xlpm.lookupResult, _xlfn.XLOOKUP(D455, RawDataTable[Account Name and Number], RawDataTable[Entity], "RAW DATA MISSING"),
       IF(ISBLANK(_xlpm.lookupResult), "RAW DATA MISSING", _xlpm.lookupResult)
   )
)</f>
        <v>Empty Row</v>
      </c>
      <c r="B455" t="str">
        <f>IF(D455="Empty Row", "Empty Row",
   _xlfn.LET(
       _xlpm.rawDataLookup, _xlfn.XLOOKUP(D455,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55" s="56" t="str" cm="1">
        <f t="array" ref="C455">IF(D455="Empty Row", "Empty Row",
   IF(COUNTIF('Name Mapping'!H:AD, D455) &gt; 0,
      INDEX('Name Mapping'!F:F, MATCH(TRUE, MMULT(--('Name Mapping'!H:AD=D455), TRANSPOSE(COLUMN('Name Mapping'!H:AD)^0)) &gt; 0, 0)),
      "")
)</f>
        <v>Empty Row</v>
      </c>
      <c r="D455" t="str">
        <f>IF(RawDataTable[[#This Row],[Account Name and Number]]&lt;&gt;"", RawDataTable[[#This Row],[Account Name and Number]], "Empty Row")</f>
        <v>Empty Row</v>
      </c>
      <c r="E455" s="28" t="str">
        <f>IF(D455="Empty Row", "Empty Row",
   _xlfn.LET(
       _xlpm.lookupResult, _xlfn.XLOOKUP(D455, RawDataTable[Account Name and Number], RawDataTable[Investment Date], "MISSING VALUE"),
       IF(ISNUMBER(_xlpm.lookupResult), _xlpm.lookupResult, "INVALID VALUE")
   )
)</f>
        <v>Empty Row</v>
      </c>
      <c r="F455" s="29" t="str">
        <f>IF(D455="Empty Row", "Empty Row",
   _xlfn.LET(
       _xlpm.lookupResult, _xlfn.XLOOKUP(D455, RawDataTable[Account Name and Number], RawDataTable[Investment Amount], "MISSING VALUE"),
       IF(ISNUMBER(_xlpm.lookupResult), _xlpm.lookupResult, "INVALID VALUE")
   )
)</f>
        <v>Empty Row</v>
      </c>
      <c r="G455" s="28" t="str">
        <f t="shared" ca="1" si="7"/>
        <v>Empty Row</v>
      </c>
      <c r="H455" s="29" t="str">
        <f>IF(D455="Empty Row", "Empty Row",
   _xlfn.LET(
       _xlpm.lookupResult, _xlfn.XLOOKUP(D455, RawDataTable[Account Name and Number], RawDataTable[Valuation Amount], "MISSING VALUE"),
       IF(ISNUMBER(_xlpm.lookupResult), _xlpm.lookupResult, "INVALID VALUE")
   )
)</f>
        <v>Empty Row</v>
      </c>
      <c r="I455" s="2" t="str">
        <f>IF(D455="Empty Row", "Empty Row", IF(_xlfn.XLOOKUP(B455, MasterTable[IRA Custodian], MasterTable[Address], "")="", "NO STREET NAME FOUND", _xlfn.XLOOKUP(B455, MasterTable[IRA Custodian], MasterTable[Address], "")))</f>
        <v>Empty Row</v>
      </c>
      <c r="J455" s="2" t="str">
        <f>IF(D455="Empty Row", "Empty Row",
   IF(OR(
       _xlfn.XLOOKUP(B455, MasterTable[IRA Custodian], MasterTable[City], "")="",
       _xlfn.XLOOKUP(B455, MasterTable[IRA Custodian], MasterTable[State], "")="",
       _xlfn.XLOOKUP(B455, MasterTable[IRA Custodian], MasterTable[Zip], "")=""),
       "INCOMPLETE ADDRESS",
       _xlfn.CONCAT(
           _xlfn.XLOOKUP(B455, MasterTable[IRA Custodian], MasterTable[City], ""), ", ",
           _xlfn.XLOOKUP(B455, MasterTable[IRA Custodian], MasterTable[State], ""), " ",
           _xlfn.XLOOKUP(B455, MasterTable[IRA Custodian], MasterTable[Zip], "")
       )
   )
)</f>
        <v>Empty Row</v>
      </c>
    </row>
    <row r="456" spans="1:10" x14ac:dyDescent="0.25">
      <c r="A456" t="str">
        <f>IF(D456="Empty Row", "Empty Row",
   _xlfn.LET(
       _xlpm.lookupResult, _xlfn.XLOOKUP(D456, RawDataTable[Account Name and Number], RawDataTable[Entity], "RAW DATA MISSING"),
       IF(ISBLANK(_xlpm.lookupResult), "RAW DATA MISSING", _xlpm.lookupResult)
   )
)</f>
        <v>Empty Row</v>
      </c>
      <c r="B456" t="str">
        <f>IF(D456="Empty Row", "Empty Row",
   _xlfn.LET(
       _xlpm.rawDataLookup, _xlfn.XLOOKUP(D456,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56" s="56" t="str" cm="1">
        <f t="array" ref="C456">IF(D456="Empty Row", "Empty Row",
   IF(COUNTIF('Name Mapping'!H:AD, D456) &gt; 0,
      INDEX('Name Mapping'!F:F, MATCH(TRUE, MMULT(--('Name Mapping'!H:AD=D456), TRANSPOSE(COLUMN('Name Mapping'!H:AD)^0)) &gt; 0, 0)),
      "")
)</f>
        <v>Empty Row</v>
      </c>
      <c r="D456" t="str">
        <f>IF(RawDataTable[[#This Row],[Account Name and Number]]&lt;&gt;"", RawDataTable[[#This Row],[Account Name and Number]], "Empty Row")</f>
        <v>Empty Row</v>
      </c>
      <c r="E456" s="28" t="str">
        <f>IF(D456="Empty Row", "Empty Row",
   _xlfn.LET(
       _xlpm.lookupResult, _xlfn.XLOOKUP(D456, RawDataTable[Account Name and Number], RawDataTable[Investment Date], "MISSING VALUE"),
       IF(ISNUMBER(_xlpm.lookupResult), _xlpm.lookupResult, "INVALID VALUE")
   )
)</f>
        <v>Empty Row</v>
      </c>
      <c r="F456" s="29" t="str">
        <f>IF(D456="Empty Row", "Empty Row",
   _xlfn.LET(
       _xlpm.lookupResult, _xlfn.XLOOKUP(D456, RawDataTable[Account Name and Number], RawDataTable[Investment Amount], "MISSING VALUE"),
       IF(ISNUMBER(_xlpm.lookupResult), _xlpm.lookupResult, "INVALID VALUE")
   )
)</f>
        <v>Empty Row</v>
      </c>
      <c r="G456" s="28" t="str">
        <f t="shared" ca="1" si="7"/>
        <v>Empty Row</v>
      </c>
      <c r="H456" s="29" t="str">
        <f>IF(D456="Empty Row", "Empty Row",
   _xlfn.LET(
       _xlpm.lookupResult, _xlfn.XLOOKUP(D456, RawDataTable[Account Name and Number], RawDataTable[Valuation Amount], "MISSING VALUE"),
       IF(ISNUMBER(_xlpm.lookupResult), _xlpm.lookupResult, "INVALID VALUE")
   )
)</f>
        <v>Empty Row</v>
      </c>
      <c r="I456" s="2" t="str">
        <f>IF(D456="Empty Row", "Empty Row", IF(_xlfn.XLOOKUP(B456, MasterTable[IRA Custodian], MasterTable[Address], "")="", "NO STREET NAME FOUND", _xlfn.XLOOKUP(B456, MasterTable[IRA Custodian], MasterTable[Address], "")))</f>
        <v>Empty Row</v>
      </c>
      <c r="J456" s="2" t="str">
        <f>IF(D456="Empty Row", "Empty Row",
   IF(OR(
       _xlfn.XLOOKUP(B456, MasterTable[IRA Custodian], MasterTable[City], "")="",
       _xlfn.XLOOKUP(B456, MasterTable[IRA Custodian], MasterTable[State], "")="",
       _xlfn.XLOOKUP(B456, MasterTable[IRA Custodian], MasterTable[Zip], "")=""),
       "INCOMPLETE ADDRESS",
       _xlfn.CONCAT(
           _xlfn.XLOOKUP(B456, MasterTable[IRA Custodian], MasterTable[City], ""), ", ",
           _xlfn.XLOOKUP(B456, MasterTable[IRA Custodian], MasterTable[State], ""), " ",
           _xlfn.XLOOKUP(B456, MasterTable[IRA Custodian], MasterTable[Zip], "")
       )
   )
)</f>
        <v>Empty Row</v>
      </c>
    </row>
    <row r="457" spans="1:10" x14ac:dyDescent="0.25">
      <c r="A457" t="str">
        <f>IF(D457="Empty Row", "Empty Row",
   _xlfn.LET(
       _xlpm.lookupResult, _xlfn.XLOOKUP(D457, RawDataTable[Account Name and Number], RawDataTable[Entity], "RAW DATA MISSING"),
       IF(ISBLANK(_xlpm.lookupResult), "RAW DATA MISSING", _xlpm.lookupResult)
   )
)</f>
        <v>Empty Row</v>
      </c>
      <c r="B457" t="str">
        <f>IF(D457="Empty Row", "Empty Row",
   _xlfn.LET(
       _xlpm.rawDataLookup, _xlfn.XLOOKUP(D457,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57" s="56" t="str" cm="1">
        <f t="array" ref="C457">IF(D457="Empty Row", "Empty Row",
   IF(COUNTIF('Name Mapping'!H:AD, D457) &gt; 0,
      INDEX('Name Mapping'!F:F, MATCH(TRUE, MMULT(--('Name Mapping'!H:AD=D457), TRANSPOSE(COLUMN('Name Mapping'!H:AD)^0)) &gt; 0, 0)),
      "")
)</f>
        <v>Empty Row</v>
      </c>
      <c r="D457" t="str">
        <f>IF(RawDataTable[[#This Row],[Account Name and Number]]&lt;&gt;"", RawDataTable[[#This Row],[Account Name and Number]], "Empty Row")</f>
        <v>Empty Row</v>
      </c>
      <c r="E457" s="28" t="str">
        <f>IF(D457="Empty Row", "Empty Row",
   _xlfn.LET(
       _xlpm.lookupResult, _xlfn.XLOOKUP(D457, RawDataTable[Account Name and Number], RawDataTable[Investment Date], "MISSING VALUE"),
       IF(ISNUMBER(_xlpm.lookupResult), _xlpm.lookupResult, "INVALID VALUE")
   )
)</f>
        <v>Empty Row</v>
      </c>
      <c r="F457" s="29" t="str">
        <f>IF(D457="Empty Row", "Empty Row",
   _xlfn.LET(
       _xlpm.lookupResult, _xlfn.XLOOKUP(D457, RawDataTable[Account Name and Number], RawDataTable[Investment Amount], "MISSING VALUE"),
       IF(ISNUMBER(_xlpm.lookupResult), _xlpm.lookupResult, "INVALID VALUE")
   )
)</f>
        <v>Empty Row</v>
      </c>
      <c r="G457" s="28" t="str">
        <f t="shared" ca="1" si="7"/>
        <v>Empty Row</v>
      </c>
      <c r="H457" s="29" t="str">
        <f>IF(D457="Empty Row", "Empty Row",
   _xlfn.LET(
       _xlpm.lookupResult, _xlfn.XLOOKUP(D457, RawDataTable[Account Name and Number], RawDataTable[Valuation Amount], "MISSING VALUE"),
       IF(ISNUMBER(_xlpm.lookupResult), _xlpm.lookupResult, "INVALID VALUE")
   )
)</f>
        <v>Empty Row</v>
      </c>
      <c r="I457" s="2" t="str">
        <f>IF(D457="Empty Row", "Empty Row", IF(_xlfn.XLOOKUP(B457, MasterTable[IRA Custodian], MasterTable[Address], "")="", "NO STREET NAME FOUND", _xlfn.XLOOKUP(B457, MasterTable[IRA Custodian], MasterTable[Address], "")))</f>
        <v>Empty Row</v>
      </c>
      <c r="J457" s="2" t="str">
        <f>IF(D457="Empty Row", "Empty Row",
   IF(OR(
       _xlfn.XLOOKUP(B457, MasterTable[IRA Custodian], MasterTable[City], "")="",
       _xlfn.XLOOKUP(B457, MasterTable[IRA Custodian], MasterTable[State], "")="",
       _xlfn.XLOOKUP(B457, MasterTable[IRA Custodian], MasterTable[Zip], "")=""),
       "INCOMPLETE ADDRESS",
       _xlfn.CONCAT(
           _xlfn.XLOOKUP(B457, MasterTable[IRA Custodian], MasterTable[City], ""), ", ",
           _xlfn.XLOOKUP(B457, MasterTable[IRA Custodian], MasterTable[State], ""), " ",
           _xlfn.XLOOKUP(B457, MasterTable[IRA Custodian], MasterTable[Zip], "")
       )
   )
)</f>
        <v>Empty Row</v>
      </c>
    </row>
    <row r="458" spans="1:10" x14ac:dyDescent="0.25">
      <c r="A458" t="str">
        <f>IF(D458="Empty Row", "Empty Row",
   _xlfn.LET(
       _xlpm.lookupResult, _xlfn.XLOOKUP(D458, RawDataTable[Account Name and Number], RawDataTable[Entity], "RAW DATA MISSING"),
       IF(ISBLANK(_xlpm.lookupResult), "RAW DATA MISSING", _xlpm.lookupResult)
   )
)</f>
        <v>Empty Row</v>
      </c>
      <c r="B458" t="str">
        <f>IF(D458="Empty Row", "Empty Row",
   _xlfn.LET(
       _xlpm.rawDataLookup, _xlfn.XLOOKUP(D458,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58" s="56" t="str" cm="1">
        <f t="array" ref="C458">IF(D458="Empty Row", "Empty Row",
   IF(COUNTIF('Name Mapping'!H:AD, D458) &gt; 0,
      INDEX('Name Mapping'!F:F, MATCH(TRUE, MMULT(--('Name Mapping'!H:AD=D458), TRANSPOSE(COLUMN('Name Mapping'!H:AD)^0)) &gt; 0, 0)),
      "")
)</f>
        <v>Empty Row</v>
      </c>
      <c r="D458" t="str">
        <f>IF(RawDataTable[[#This Row],[Account Name and Number]]&lt;&gt;"", RawDataTable[[#This Row],[Account Name and Number]], "Empty Row")</f>
        <v>Empty Row</v>
      </c>
      <c r="E458" s="28" t="str">
        <f>IF(D458="Empty Row", "Empty Row",
   _xlfn.LET(
       _xlpm.lookupResult, _xlfn.XLOOKUP(D458, RawDataTable[Account Name and Number], RawDataTable[Investment Date], "MISSING VALUE"),
       IF(ISNUMBER(_xlpm.lookupResult), _xlpm.lookupResult, "INVALID VALUE")
   )
)</f>
        <v>Empty Row</v>
      </c>
      <c r="F458" s="29" t="str">
        <f>IF(D458="Empty Row", "Empty Row",
   _xlfn.LET(
       _xlpm.lookupResult, _xlfn.XLOOKUP(D458, RawDataTable[Account Name and Number], RawDataTable[Investment Amount], "MISSING VALUE"),
       IF(ISNUMBER(_xlpm.lookupResult), _xlpm.lookupResult, "INVALID VALUE")
   )
)</f>
        <v>Empty Row</v>
      </c>
      <c r="G458" s="28" t="str">
        <f t="shared" ca="1" si="7"/>
        <v>Empty Row</v>
      </c>
      <c r="H458" s="29" t="str">
        <f>IF(D458="Empty Row", "Empty Row",
   _xlfn.LET(
       _xlpm.lookupResult, _xlfn.XLOOKUP(D458, RawDataTable[Account Name and Number], RawDataTable[Valuation Amount], "MISSING VALUE"),
       IF(ISNUMBER(_xlpm.lookupResult), _xlpm.lookupResult, "INVALID VALUE")
   )
)</f>
        <v>Empty Row</v>
      </c>
      <c r="I458" s="2" t="str">
        <f>IF(D458="Empty Row", "Empty Row", IF(_xlfn.XLOOKUP(B458, MasterTable[IRA Custodian], MasterTable[Address], "")="", "NO STREET NAME FOUND", _xlfn.XLOOKUP(B458, MasterTable[IRA Custodian], MasterTable[Address], "")))</f>
        <v>Empty Row</v>
      </c>
      <c r="J458" s="2" t="str">
        <f>IF(D458="Empty Row", "Empty Row",
   IF(OR(
       _xlfn.XLOOKUP(B458, MasterTable[IRA Custodian], MasterTable[City], "")="",
       _xlfn.XLOOKUP(B458, MasterTable[IRA Custodian], MasterTable[State], "")="",
       _xlfn.XLOOKUP(B458, MasterTable[IRA Custodian], MasterTable[Zip], "")=""),
       "INCOMPLETE ADDRESS",
       _xlfn.CONCAT(
           _xlfn.XLOOKUP(B458, MasterTable[IRA Custodian], MasterTable[City], ""), ", ",
           _xlfn.XLOOKUP(B458, MasterTable[IRA Custodian], MasterTable[State], ""), " ",
           _xlfn.XLOOKUP(B458, MasterTable[IRA Custodian], MasterTable[Zip], "")
       )
   )
)</f>
        <v>Empty Row</v>
      </c>
    </row>
    <row r="459" spans="1:10" x14ac:dyDescent="0.25">
      <c r="A459" t="str">
        <f>IF(D459="Empty Row", "Empty Row",
   _xlfn.LET(
       _xlpm.lookupResult, _xlfn.XLOOKUP(D459, RawDataTable[Account Name and Number], RawDataTable[Entity], "RAW DATA MISSING"),
       IF(ISBLANK(_xlpm.lookupResult), "RAW DATA MISSING", _xlpm.lookupResult)
   )
)</f>
        <v>Empty Row</v>
      </c>
      <c r="B459" t="str">
        <f>IF(D459="Empty Row", "Empty Row",
   _xlfn.LET(
       _xlpm.rawDataLookup, _xlfn.XLOOKUP(D459,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59" s="56" t="str" cm="1">
        <f t="array" ref="C459">IF(D459="Empty Row", "Empty Row",
   IF(COUNTIF('Name Mapping'!H:AD, D459) &gt; 0,
      INDEX('Name Mapping'!F:F, MATCH(TRUE, MMULT(--('Name Mapping'!H:AD=D459), TRANSPOSE(COLUMN('Name Mapping'!H:AD)^0)) &gt; 0, 0)),
      "")
)</f>
        <v>Empty Row</v>
      </c>
      <c r="D459" t="str">
        <f>IF(RawDataTable[[#This Row],[Account Name and Number]]&lt;&gt;"", RawDataTable[[#This Row],[Account Name and Number]], "Empty Row")</f>
        <v>Empty Row</v>
      </c>
      <c r="E459" s="28" t="str">
        <f>IF(D459="Empty Row", "Empty Row",
   _xlfn.LET(
       _xlpm.lookupResult, _xlfn.XLOOKUP(D459, RawDataTable[Account Name and Number], RawDataTable[Investment Date], "MISSING VALUE"),
       IF(ISNUMBER(_xlpm.lookupResult), _xlpm.lookupResult, "INVALID VALUE")
   )
)</f>
        <v>Empty Row</v>
      </c>
      <c r="F459" s="29" t="str">
        <f>IF(D459="Empty Row", "Empty Row",
   _xlfn.LET(
       _xlpm.lookupResult, _xlfn.XLOOKUP(D459, RawDataTable[Account Name and Number], RawDataTable[Investment Amount], "MISSING VALUE"),
       IF(ISNUMBER(_xlpm.lookupResult), _xlpm.lookupResult, "INVALID VALUE")
   )
)</f>
        <v>Empty Row</v>
      </c>
      <c r="G459" s="28" t="str">
        <f t="shared" ca="1" si="7"/>
        <v>Empty Row</v>
      </c>
      <c r="H459" s="29" t="str">
        <f>IF(D459="Empty Row", "Empty Row",
   _xlfn.LET(
       _xlpm.lookupResult, _xlfn.XLOOKUP(D459, RawDataTable[Account Name and Number], RawDataTable[Valuation Amount], "MISSING VALUE"),
       IF(ISNUMBER(_xlpm.lookupResult), _xlpm.lookupResult, "INVALID VALUE")
   )
)</f>
        <v>Empty Row</v>
      </c>
      <c r="I459" s="2" t="str">
        <f>IF(D459="Empty Row", "Empty Row", IF(_xlfn.XLOOKUP(B459, MasterTable[IRA Custodian], MasterTable[Address], "")="", "NO STREET NAME FOUND", _xlfn.XLOOKUP(B459, MasterTable[IRA Custodian], MasterTable[Address], "")))</f>
        <v>Empty Row</v>
      </c>
      <c r="J459" s="2" t="str">
        <f>IF(D459="Empty Row", "Empty Row",
   IF(OR(
       _xlfn.XLOOKUP(B459, MasterTable[IRA Custodian], MasterTable[City], "")="",
       _xlfn.XLOOKUP(B459, MasterTable[IRA Custodian], MasterTable[State], "")="",
       _xlfn.XLOOKUP(B459, MasterTable[IRA Custodian], MasterTable[Zip], "")=""),
       "INCOMPLETE ADDRESS",
       _xlfn.CONCAT(
           _xlfn.XLOOKUP(B459, MasterTable[IRA Custodian], MasterTable[City], ""), ", ",
           _xlfn.XLOOKUP(B459, MasterTable[IRA Custodian], MasterTable[State], ""), " ",
           _xlfn.XLOOKUP(B459, MasterTable[IRA Custodian], MasterTable[Zip], "")
       )
   )
)</f>
        <v>Empty Row</v>
      </c>
    </row>
    <row r="460" spans="1:10" x14ac:dyDescent="0.25">
      <c r="A460" t="str">
        <f>IF(D460="Empty Row", "Empty Row",
   _xlfn.LET(
       _xlpm.lookupResult, _xlfn.XLOOKUP(D460, RawDataTable[Account Name and Number], RawDataTable[Entity], "RAW DATA MISSING"),
       IF(ISBLANK(_xlpm.lookupResult), "RAW DATA MISSING", _xlpm.lookupResult)
   )
)</f>
        <v>Empty Row</v>
      </c>
      <c r="B460" t="str">
        <f>IF(D460="Empty Row", "Empty Row",
   _xlfn.LET(
       _xlpm.rawDataLookup, _xlfn.XLOOKUP(D460,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60" s="56" t="str" cm="1">
        <f t="array" ref="C460">IF(D460="Empty Row", "Empty Row",
   IF(COUNTIF('Name Mapping'!H:AD, D460) &gt; 0,
      INDEX('Name Mapping'!F:F, MATCH(TRUE, MMULT(--('Name Mapping'!H:AD=D460), TRANSPOSE(COLUMN('Name Mapping'!H:AD)^0)) &gt; 0, 0)),
      "")
)</f>
        <v>Empty Row</v>
      </c>
      <c r="D460" t="str">
        <f>IF(RawDataTable[[#This Row],[Account Name and Number]]&lt;&gt;"", RawDataTable[[#This Row],[Account Name and Number]], "Empty Row")</f>
        <v>Empty Row</v>
      </c>
      <c r="E460" s="28" t="str">
        <f>IF(D460="Empty Row", "Empty Row",
   _xlfn.LET(
       _xlpm.lookupResult, _xlfn.XLOOKUP(D460, RawDataTable[Account Name and Number], RawDataTable[Investment Date], "MISSING VALUE"),
       IF(ISNUMBER(_xlpm.lookupResult), _xlpm.lookupResult, "INVALID VALUE")
   )
)</f>
        <v>Empty Row</v>
      </c>
      <c r="F460" s="29" t="str">
        <f>IF(D460="Empty Row", "Empty Row",
   _xlfn.LET(
       _xlpm.lookupResult, _xlfn.XLOOKUP(D460, RawDataTable[Account Name and Number], RawDataTable[Investment Amount], "MISSING VALUE"),
       IF(ISNUMBER(_xlpm.lookupResult), _xlpm.lookupResult, "INVALID VALUE")
   )
)</f>
        <v>Empty Row</v>
      </c>
      <c r="G460" s="28" t="str">
        <f t="shared" ca="1" si="7"/>
        <v>Empty Row</v>
      </c>
      <c r="H460" s="29" t="str">
        <f>IF(D460="Empty Row", "Empty Row",
   _xlfn.LET(
       _xlpm.lookupResult, _xlfn.XLOOKUP(D460, RawDataTable[Account Name and Number], RawDataTable[Valuation Amount], "MISSING VALUE"),
       IF(ISNUMBER(_xlpm.lookupResult), _xlpm.lookupResult, "INVALID VALUE")
   )
)</f>
        <v>Empty Row</v>
      </c>
      <c r="I460" s="2" t="str">
        <f>IF(D460="Empty Row", "Empty Row", IF(_xlfn.XLOOKUP(B460, MasterTable[IRA Custodian], MasterTable[Address], "")="", "NO STREET NAME FOUND", _xlfn.XLOOKUP(B460, MasterTable[IRA Custodian], MasterTable[Address], "")))</f>
        <v>Empty Row</v>
      </c>
      <c r="J460" s="2" t="str">
        <f>IF(D460="Empty Row", "Empty Row",
   IF(OR(
       _xlfn.XLOOKUP(B460, MasterTable[IRA Custodian], MasterTable[City], "")="",
       _xlfn.XLOOKUP(B460, MasterTable[IRA Custodian], MasterTable[State], "")="",
       _xlfn.XLOOKUP(B460, MasterTable[IRA Custodian], MasterTable[Zip], "")=""),
       "INCOMPLETE ADDRESS",
       _xlfn.CONCAT(
           _xlfn.XLOOKUP(B460, MasterTable[IRA Custodian], MasterTable[City], ""), ", ",
           _xlfn.XLOOKUP(B460, MasterTable[IRA Custodian], MasterTable[State], ""), " ",
           _xlfn.XLOOKUP(B460, MasterTable[IRA Custodian], MasterTable[Zip], "")
       )
   )
)</f>
        <v>Empty Row</v>
      </c>
    </row>
    <row r="461" spans="1:10" x14ac:dyDescent="0.25">
      <c r="A461" t="str">
        <f>IF(D461="Empty Row", "Empty Row",
   _xlfn.LET(
       _xlpm.lookupResult, _xlfn.XLOOKUP(D461, RawDataTable[Account Name and Number], RawDataTable[Entity], "RAW DATA MISSING"),
       IF(ISBLANK(_xlpm.lookupResult), "RAW DATA MISSING", _xlpm.lookupResult)
   )
)</f>
        <v>Empty Row</v>
      </c>
      <c r="B461" t="str">
        <f>IF(D461="Empty Row", "Empty Row",
   _xlfn.LET(
       _xlpm.rawDataLookup, _xlfn.XLOOKUP(D461,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61" s="56" t="str" cm="1">
        <f t="array" ref="C461">IF(D461="Empty Row", "Empty Row",
   IF(COUNTIF('Name Mapping'!H:AD, D461) &gt; 0,
      INDEX('Name Mapping'!F:F, MATCH(TRUE, MMULT(--('Name Mapping'!H:AD=D461), TRANSPOSE(COLUMN('Name Mapping'!H:AD)^0)) &gt; 0, 0)),
      "")
)</f>
        <v>Empty Row</v>
      </c>
      <c r="D461" t="str">
        <f>IF(RawDataTable[[#This Row],[Account Name and Number]]&lt;&gt;"", RawDataTable[[#This Row],[Account Name and Number]], "Empty Row")</f>
        <v>Empty Row</v>
      </c>
      <c r="E461" s="28" t="str">
        <f>IF(D461="Empty Row", "Empty Row",
   _xlfn.LET(
       _xlpm.lookupResult, _xlfn.XLOOKUP(D461, RawDataTable[Account Name and Number], RawDataTable[Investment Date], "MISSING VALUE"),
       IF(ISNUMBER(_xlpm.lookupResult), _xlpm.lookupResult, "INVALID VALUE")
   )
)</f>
        <v>Empty Row</v>
      </c>
      <c r="F461" s="29" t="str">
        <f>IF(D461="Empty Row", "Empty Row",
   _xlfn.LET(
       _xlpm.lookupResult, _xlfn.XLOOKUP(D461, RawDataTable[Account Name and Number], RawDataTable[Investment Amount], "MISSING VALUE"),
       IF(ISNUMBER(_xlpm.lookupResult), _xlpm.lookupResult, "INVALID VALUE")
   )
)</f>
        <v>Empty Row</v>
      </c>
      <c r="G461" s="28" t="str">
        <f t="shared" ca="1" si="7"/>
        <v>Empty Row</v>
      </c>
      <c r="H461" s="29" t="str">
        <f>IF(D461="Empty Row", "Empty Row",
   _xlfn.LET(
       _xlpm.lookupResult, _xlfn.XLOOKUP(D461, RawDataTable[Account Name and Number], RawDataTable[Valuation Amount], "MISSING VALUE"),
       IF(ISNUMBER(_xlpm.lookupResult), _xlpm.lookupResult, "INVALID VALUE")
   )
)</f>
        <v>Empty Row</v>
      </c>
      <c r="I461" s="2" t="str">
        <f>IF(D461="Empty Row", "Empty Row", IF(_xlfn.XLOOKUP(B461, MasterTable[IRA Custodian], MasterTable[Address], "")="", "NO STREET NAME FOUND", _xlfn.XLOOKUP(B461, MasterTable[IRA Custodian], MasterTable[Address], "")))</f>
        <v>Empty Row</v>
      </c>
      <c r="J461" s="2" t="str">
        <f>IF(D461="Empty Row", "Empty Row",
   IF(OR(
       _xlfn.XLOOKUP(B461, MasterTable[IRA Custodian], MasterTable[City], "")="",
       _xlfn.XLOOKUP(B461, MasterTable[IRA Custodian], MasterTable[State], "")="",
       _xlfn.XLOOKUP(B461, MasterTable[IRA Custodian], MasterTable[Zip], "")=""),
       "INCOMPLETE ADDRESS",
       _xlfn.CONCAT(
           _xlfn.XLOOKUP(B461, MasterTable[IRA Custodian], MasterTable[City], ""), ", ",
           _xlfn.XLOOKUP(B461, MasterTable[IRA Custodian], MasterTable[State], ""), " ",
           _xlfn.XLOOKUP(B461, MasterTable[IRA Custodian], MasterTable[Zip], "")
       )
   )
)</f>
        <v>Empty Row</v>
      </c>
    </row>
    <row r="462" spans="1:10" x14ac:dyDescent="0.25">
      <c r="A462" t="str">
        <f>IF(D462="Empty Row", "Empty Row",
   _xlfn.LET(
       _xlpm.lookupResult, _xlfn.XLOOKUP(D462, RawDataTable[Account Name and Number], RawDataTable[Entity], "RAW DATA MISSING"),
       IF(ISBLANK(_xlpm.lookupResult), "RAW DATA MISSING", _xlpm.lookupResult)
   )
)</f>
        <v>Empty Row</v>
      </c>
      <c r="B462" t="str">
        <f>IF(D462="Empty Row", "Empty Row",
   _xlfn.LET(
       _xlpm.rawDataLookup, _xlfn.XLOOKUP(D462,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62" s="56" t="str" cm="1">
        <f t="array" ref="C462">IF(D462="Empty Row", "Empty Row",
   IF(COUNTIF('Name Mapping'!H:AD, D462) &gt; 0,
      INDEX('Name Mapping'!F:F, MATCH(TRUE, MMULT(--('Name Mapping'!H:AD=D462), TRANSPOSE(COLUMN('Name Mapping'!H:AD)^0)) &gt; 0, 0)),
      "")
)</f>
        <v>Empty Row</v>
      </c>
      <c r="D462" t="str">
        <f>IF(RawDataTable[[#This Row],[Account Name and Number]]&lt;&gt;"", RawDataTable[[#This Row],[Account Name and Number]], "Empty Row")</f>
        <v>Empty Row</v>
      </c>
      <c r="E462" s="28" t="str">
        <f>IF(D462="Empty Row", "Empty Row",
   _xlfn.LET(
       _xlpm.lookupResult, _xlfn.XLOOKUP(D462, RawDataTable[Account Name and Number], RawDataTable[Investment Date], "MISSING VALUE"),
       IF(ISNUMBER(_xlpm.lookupResult), _xlpm.lookupResult, "INVALID VALUE")
   )
)</f>
        <v>Empty Row</v>
      </c>
      <c r="F462" s="29" t="str">
        <f>IF(D462="Empty Row", "Empty Row",
   _xlfn.LET(
       _xlpm.lookupResult, _xlfn.XLOOKUP(D462, RawDataTable[Account Name and Number], RawDataTable[Investment Amount], "MISSING VALUE"),
       IF(ISNUMBER(_xlpm.lookupResult), _xlpm.lookupResult, "INVALID VALUE")
   )
)</f>
        <v>Empty Row</v>
      </c>
      <c r="G462" s="28" t="str">
        <f t="shared" ca="1" si="7"/>
        <v>Empty Row</v>
      </c>
      <c r="H462" s="29" t="str">
        <f>IF(D462="Empty Row", "Empty Row",
   _xlfn.LET(
       _xlpm.lookupResult, _xlfn.XLOOKUP(D462, RawDataTable[Account Name and Number], RawDataTable[Valuation Amount], "MISSING VALUE"),
       IF(ISNUMBER(_xlpm.lookupResult), _xlpm.lookupResult, "INVALID VALUE")
   )
)</f>
        <v>Empty Row</v>
      </c>
      <c r="I462" s="2" t="str">
        <f>IF(D462="Empty Row", "Empty Row", IF(_xlfn.XLOOKUP(B462, MasterTable[IRA Custodian], MasterTable[Address], "")="", "NO STREET NAME FOUND", _xlfn.XLOOKUP(B462, MasterTable[IRA Custodian], MasterTable[Address], "")))</f>
        <v>Empty Row</v>
      </c>
      <c r="J462" s="2" t="str">
        <f>IF(D462="Empty Row", "Empty Row",
   IF(OR(
       _xlfn.XLOOKUP(B462, MasterTable[IRA Custodian], MasterTable[City], "")="",
       _xlfn.XLOOKUP(B462, MasterTable[IRA Custodian], MasterTable[State], "")="",
       _xlfn.XLOOKUP(B462, MasterTable[IRA Custodian], MasterTable[Zip], "")=""),
       "INCOMPLETE ADDRESS",
       _xlfn.CONCAT(
           _xlfn.XLOOKUP(B462, MasterTable[IRA Custodian], MasterTable[City], ""), ", ",
           _xlfn.XLOOKUP(B462, MasterTable[IRA Custodian], MasterTable[State], ""), " ",
           _xlfn.XLOOKUP(B462, MasterTable[IRA Custodian], MasterTable[Zip], "")
       )
   )
)</f>
        <v>Empty Row</v>
      </c>
    </row>
    <row r="463" spans="1:10" x14ac:dyDescent="0.25">
      <c r="A463" t="str">
        <f>IF(D463="Empty Row", "Empty Row",
   _xlfn.LET(
       _xlpm.lookupResult, _xlfn.XLOOKUP(D463, RawDataTable[Account Name and Number], RawDataTable[Entity], "RAW DATA MISSING"),
       IF(ISBLANK(_xlpm.lookupResult), "RAW DATA MISSING", _xlpm.lookupResult)
   )
)</f>
        <v>Empty Row</v>
      </c>
      <c r="B463" t="str">
        <f>IF(D463="Empty Row", "Empty Row",
   _xlfn.LET(
       _xlpm.rawDataLookup, _xlfn.XLOOKUP(D463,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63" s="56" t="str" cm="1">
        <f t="array" ref="C463">IF(D463="Empty Row", "Empty Row",
   IF(COUNTIF('Name Mapping'!H:AD, D463) &gt; 0,
      INDEX('Name Mapping'!F:F, MATCH(TRUE, MMULT(--('Name Mapping'!H:AD=D463), TRANSPOSE(COLUMN('Name Mapping'!H:AD)^0)) &gt; 0, 0)),
      "")
)</f>
        <v>Empty Row</v>
      </c>
      <c r="D463" t="str">
        <f>IF(RawDataTable[[#This Row],[Account Name and Number]]&lt;&gt;"", RawDataTable[[#This Row],[Account Name and Number]], "Empty Row")</f>
        <v>Empty Row</v>
      </c>
      <c r="E463" s="28" t="str">
        <f>IF(D463="Empty Row", "Empty Row",
   _xlfn.LET(
       _xlpm.lookupResult, _xlfn.XLOOKUP(D463, RawDataTable[Account Name and Number], RawDataTable[Investment Date], "MISSING VALUE"),
       IF(ISNUMBER(_xlpm.lookupResult), _xlpm.lookupResult, "INVALID VALUE")
   )
)</f>
        <v>Empty Row</v>
      </c>
      <c r="F463" s="29" t="str">
        <f>IF(D463="Empty Row", "Empty Row",
   _xlfn.LET(
       _xlpm.lookupResult, _xlfn.XLOOKUP(D463, RawDataTable[Account Name and Number], RawDataTable[Investment Amount], "MISSING VALUE"),
       IF(ISNUMBER(_xlpm.lookupResult), _xlpm.lookupResult, "INVALID VALUE")
   )
)</f>
        <v>Empty Row</v>
      </c>
      <c r="G463" s="28" t="str">
        <f t="shared" ca="1" si="7"/>
        <v>Empty Row</v>
      </c>
      <c r="H463" s="29" t="str">
        <f>IF(D463="Empty Row", "Empty Row",
   _xlfn.LET(
       _xlpm.lookupResult, _xlfn.XLOOKUP(D463, RawDataTable[Account Name and Number], RawDataTable[Valuation Amount], "MISSING VALUE"),
       IF(ISNUMBER(_xlpm.lookupResult), _xlpm.lookupResult, "INVALID VALUE")
   )
)</f>
        <v>Empty Row</v>
      </c>
      <c r="I463" s="2" t="str">
        <f>IF(D463="Empty Row", "Empty Row", IF(_xlfn.XLOOKUP(B463, MasterTable[IRA Custodian], MasterTable[Address], "")="", "NO STREET NAME FOUND", _xlfn.XLOOKUP(B463, MasterTable[IRA Custodian], MasterTable[Address], "")))</f>
        <v>Empty Row</v>
      </c>
      <c r="J463" s="2" t="str">
        <f>IF(D463="Empty Row", "Empty Row",
   IF(OR(
       _xlfn.XLOOKUP(B463, MasterTable[IRA Custodian], MasterTable[City], "")="",
       _xlfn.XLOOKUP(B463, MasterTable[IRA Custodian], MasterTable[State], "")="",
       _xlfn.XLOOKUP(B463, MasterTable[IRA Custodian], MasterTable[Zip], "")=""),
       "INCOMPLETE ADDRESS",
       _xlfn.CONCAT(
           _xlfn.XLOOKUP(B463, MasterTable[IRA Custodian], MasterTable[City], ""), ", ",
           _xlfn.XLOOKUP(B463, MasterTable[IRA Custodian], MasterTable[State], ""), " ",
           _xlfn.XLOOKUP(B463, MasterTable[IRA Custodian], MasterTable[Zip], "")
       )
   )
)</f>
        <v>Empty Row</v>
      </c>
    </row>
    <row r="464" spans="1:10" x14ac:dyDescent="0.25">
      <c r="A464" t="str">
        <f>IF(D464="Empty Row", "Empty Row",
   _xlfn.LET(
       _xlpm.lookupResult, _xlfn.XLOOKUP(D464, RawDataTable[Account Name and Number], RawDataTable[Entity], "RAW DATA MISSING"),
       IF(ISBLANK(_xlpm.lookupResult), "RAW DATA MISSING", _xlpm.lookupResult)
   )
)</f>
        <v>Empty Row</v>
      </c>
      <c r="B464" t="str">
        <f>IF(D464="Empty Row", "Empty Row",
   _xlfn.LET(
       _xlpm.rawDataLookup, _xlfn.XLOOKUP(D464,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64" s="56" t="str" cm="1">
        <f t="array" ref="C464">IF(D464="Empty Row", "Empty Row",
   IF(COUNTIF('Name Mapping'!H:AD, D464) &gt; 0,
      INDEX('Name Mapping'!F:F, MATCH(TRUE, MMULT(--('Name Mapping'!H:AD=D464), TRANSPOSE(COLUMN('Name Mapping'!H:AD)^0)) &gt; 0, 0)),
      "")
)</f>
        <v>Empty Row</v>
      </c>
      <c r="D464" t="str">
        <f>IF(RawDataTable[[#This Row],[Account Name and Number]]&lt;&gt;"", RawDataTable[[#This Row],[Account Name and Number]], "Empty Row")</f>
        <v>Empty Row</v>
      </c>
      <c r="E464" s="28" t="str">
        <f>IF(D464="Empty Row", "Empty Row",
   _xlfn.LET(
       _xlpm.lookupResult, _xlfn.XLOOKUP(D464, RawDataTable[Account Name and Number], RawDataTable[Investment Date], "MISSING VALUE"),
       IF(ISNUMBER(_xlpm.lookupResult), _xlpm.lookupResult, "INVALID VALUE")
   )
)</f>
        <v>Empty Row</v>
      </c>
      <c r="F464" s="29" t="str">
        <f>IF(D464="Empty Row", "Empty Row",
   _xlfn.LET(
       _xlpm.lookupResult, _xlfn.XLOOKUP(D464, RawDataTable[Account Name and Number], RawDataTable[Investment Amount], "MISSING VALUE"),
       IF(ISNUMBER(_xlpm.lookupResult), _xlpm.lookupResult, "INVALID VALUE")
   )
)</f>
        <v>Empty Row</v>
      </c>
      <c r="G464" s="28" t="str">
        <f t="shared" ca="1" si="7"/>
        <v>Empty Row</v>
      </c>
      <c r="H464" s="29" t="str">
        <f>IF(D464="Empty Row", "Empty Row",
   _xlfn.LET(
       _xlpm.lookupResult, _xlfn.XLOOKUP(D464, RawDataTable[Account Name and Number], RawDataTable[Valuation Amount], "MISSING VALUE"),
       IF(ISNUMBER(_xlpm.lookupResult), _xlpm.lookupResult, "INVALID VALUE")
   )
)</f>
        <v>Empty Row</v>
      </c>
      <c r="I464" s="2" t="str">
        <f>IF(D464="Empty Row", "Empty Row", IF(_xlfn.XLOOKUP(B464, MasterTable[IRA Custodian], MasterTable[Address], "")="", "NO STREET NAME FOUND", _xlfn.XLOOKUP(B464, MasterTable[IRA Custodian], MasterTable[Address], "")))</f>
        <v>Empty Row</v>
      </c>
      <c r="J464" s="2" t="str">
        <f>IF(D464="Empty Row", "Empty Row",
   IF(OR(
       _xlfn.XLOOKUP(B464, MasterTable[IRA Custodian], MasterTable[City], "")="",
       _xlfn.XLOOKUP(B464, MasterTable[IRA Custodian], MasterTable[State], "")="",
       _xlfn.XLOOKUP(B464, MasterTable[IRA Custodian], MasterTable[Zip], "")=""),
       "INCOMPLETE ADDRESS",
       _xlfn.CONCAT(
           _xlfn.XLOOKUP(B464, MasterTable[IRA Custodian], MasterTable[City], ""), ", ",
           _xlfn.XLOOKUP(B464, MasterTable[IRA Custodian], MasterTable[State], ""), " ",
           _xlfn.XLOOKUP(B464, MasterTable[IRA Custodian], MasterTable[Zip], "")
       )
   )
)</f>
        <v>Empty Row</v>
      </c>
    </row>
    <row r="465" spans="1:10" x14ac:dyDescent="0.25">
      <c r="A465" t="str">
        <f>IF(D465="Empty Row", "Empty Row",
   _xlfn.LET(
       _xlpm.lookupResult, _xlfn.XLOOKUP(D465, RawDataTable[Account Name and Number], RawDataTable[Entity], "RAW DATA MISSING"),
       IF(ISBLANK(_xlpm.lookupResult), "RAW DATA MISSING", _xlpm.lookupResult)
   )
)</f>
        <v>Empty Row</v>
      </c>
      <c r="B465" t="str">
        <f>IF(D465="Empty Row", "Empty Row",
   _xlfn.LET(
       _xlpm.rawDataLookup, _xlfn.XLOOKUP(D465,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65" s="56" t="str" cm="1">
        <f t="array" ref="C465">IF(D465="Empty Row", "Empty Row",
   IF(COUNTIF('Name Mapping'!H:AD, D465) &gt; 0,
      INDEX('Name Mapping'!F:F, MATCH(TRUE, MMULT(--('Name Mapping'!H:AD=D465), TRANSPOSE(COLUMN('Name Mapping'!H:AD)^0)) &gt; 0, 0)),
      "")
)</f>
        <v>Empty Row</v>
      </c>
      <c r="D465" t="str">
        <f>IF(RawDataTable[[#This Row],[Account Name and Number]]&lt;&gt;"", RawDataTable[[#This Row],[Account Name and Number]], "Empty Row")</f>
        <v>Empty Row</v>
      </c>
      <c r="E465" s="28" t="str">
        <f>IF(D465="Empty Row", "Empty Row",
   _xlfn.LET(
       _xlpm.lookupResult, _xlfn.XLOOKUP(D465, RawDataTable[Account Name and Number], RawDataTable[Investment Date], "MISSING VALUE"),
       IF(ISNUMBER(_xlpm.lookupResult), _xlpm.lookupResult, "INVALID VALUE")
   )
)</f>
        <v>Empty Row</v>
      </c>
      <c r="F465" s="29" t="str">
        <f>IF(D465="Empty Row", "Empty Row",
   _xlfn.LET(
       _xlpm.lookupResult, _xlfn.XLOOKUP(D465, RawDataTable[Account Name and Number], RawDataTable[Investment Amount], "MISSING VALUE"),
       IF(ISNUMBER(_xlpm.lookupResult), _xlpm.lookupResult, "INVALID VALUE")
   )
)</f>
        <v>Empty Row</v>
      </c>
      <c r="G465" s="28" t="str">
        <f t="shared" ca="1" si="7"/>
        <v>Empty Row</v>
      </c>
      <c r="H465" s="29" t="str">
        <f>IF(D465="Empty Row", "Empty Row",
   _xlfn.LET(
       _xlpm.lookupResult, _xlfn.XLOOKUP(D465, RawDataTable[Account Name and Number], RawDataTable[Valuation Amount], "MISSING VALUE"),
       IF(ISNUMBER(_xlpm.lookupResult), _xlpm.lookupResult, "INVALID VALUE")
   )
)</f>
        <v>Empty Row</v>
      </c>
      <c r="I465" s="2" t="str">
        <f>IF(D465="Empty Row", "Empty Row", IF(_xlfn.XLOOKUP(B465, MasterTable[IRA Custodian], MasterTable[Address], "")="", "NO STREET NAME FOUND", _xlfn.XLOOKUP(B465, MasterTable[IRA Custodian], MasterTable[Address], "")))</f>
        <v>Empty Row</v>
      </c>
      <c r="J465" s="2" t="str">
        <f>IF(D465="Empty Row", "Empty Row",
   IF(OR(
       _xlfn.XLOOKUP(B465, MasterTable[IRA Custodian], MasterTable[City], "")="",
       _xlfn.XLOOKUP(B465, MasterTable[IRA Custodian], MasterTable[State], "")="",
       _xlfn.XLOOKUP(B465, MasterTable[IRA Custodian], MasterTable[Zip], "")=""),
       "INCOMPLETE ADDRESS",
       _xlfn.CONCAT(
           _xlfn.XLOOKUP(B465, MasterTable[IRA Custodian], MasterTable[City], ""), ", ",
           _xlfn.XLOOKUP(B465, MasterTable[IRA Custodian], MasterTable[State], ""), " ",
           _xlfn.XLOOKUP(B465, MasterTable[IRA Custodian], MasterTable[Zip], "")
       )
   )
)</f>
        <v>Empty Row</v>
      </c>
    </row>
    <row r="466" spans="1:10" x14ac:dyDescent="0.25">
      <c r="A466" t="str">
        <f>IF(D466="Empty Row", "Empty Row",
   _xlfn.LET(
       _xlpm.lookupResult, _xlfn.XLOOKUP(D466, RawDataTable[Account Name and Number], RawDataTable[Entity], "RAW DATA MISSING"),
       IF(ISBLANK(_xlpm.lookupResult), "RAW DATA MISSING", _xlpm.lookupResult)
   )
)</f>
        <v>Empty Row</v>
      </c>
      <c r="B466" t="str">
        <f>IF(D466="Empty Row", "Empty Row",
   _xlfn.LET(
       _xlpm.rawDataLookup, _xlfn.XLOOKUP(D466,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66" s="56" t="str" cm="1">
        <f t="array" ref="C466">IF(D466="Empty Row", "Empty Row",
   IF(COUNTIF('Name Mapping'!H:AD, D466) &gt; 0,
      INDEX('Name Mapping'!F:F, MATCH(TRUE, MMULT(--('Name Mapping'!H:AD=D466), TRANSPOSE(COLUMN('Name Mapping'!H:AD)^0)) &gt; 0, 0)),
      "")
)</f>
        <v>Empty Row</v>
      </c>
      <c r="D466" t="str">
        <f>IF(RawDataTable[[#This Row],[Account Name and Number]]&lt;&gt;"", RawDataTable[[#This Row],[Account Name and Number]], "Empty Row")</f>
        <v>Empty Row</v>
      </c>
      <c r="E466" s="28" t="str">
        <f>IF(D466="Empty Row", "Empty Row",
   _xlfn.LET(
       _xlpm.lookupResult, _xlfn.XLOOKUP(D466, RawDataTable[Account Name and Number], RawDataTable[Investment Date], "MISSING VALUE"),
       IF(ISNUMBER(_xlpm.lookupResult), _xlpm.lookupResult, "INVALID VALUE")
   )
)</f>
        <v>Empty Row</v>
      </c>
      <c r="F466" s="29" t="str">
        <f>IF(D466="Empty Row", "Empty Row",
   _xlfn.LET(
       _xlpm.lookupResult, _xlfn.XLOOKUP(D466, RawDataTable[Account Name and Number], RawDataTable[Investment Amount], "MISSING VALUE"),
       IF(ISNUMBER(_xlpm.lookupResult), _xlpm.lookupResult, "INVALID VALUE")
   )
)</f>
        <v>Empty Row</v>
      </c>
      <c r="G466" s="28" t="str">
        <f t="shared" ca="1" si="7"/>
        <v>Empty Row</v>
      </c>
      <c r="H466" s="29" t="str">
        <f>IF(D466="Empty Row", "Empty Row",
   _xlfn.LET(
       _xlpm.lookupResult, _xlfn.XLOOKUP(D466, RawDataTable[Account Name and Number], RawDataTable[Valuation Amount], "MISSING VALUE"),
       IF(ISNUMBER(_xlpm.lookupResult), _xlpm.lookupResult, "INVALID VALUE")
   )
)</f>
        <v>Empty Row</v>
      </c>
      <c r="I466" s="2" t="str">
        <f>IF(D466="Empty Row", "Empty Row", IF(_xlfn.XLOOKUP(B466, MasterTable[IRA Custodian], MasterTable[Address], "")="", "NO STREET NAME FOUND", _xlfn.XLOOKUP(B466, MasterTable[IRA Custodian], MasterTable[Address], "")))</f>
        <v>Empty Row</v>
      </c>
      <c r="J466" s="2" t="str">
        <f>IF(D466="Empty Row", "Empty Row",
   IF(OR(
       _xlfn.XLOOKUP(B466, MasterTable[IRA Custodian], MasterTable[City], "")="",
       _xlfn.XLOOKUP(B466, MasterTable[IRA Custodian], MasterTable[State], "")="",
       _xlfn.XLOOKUP(B466, MasterTable[IRA Custodian], MasterTable[Zip], "")=""),
       "INCOMPLETE ADDRESS",
       _xlfn.CONCAT(
           _xlfn.XLOOKUP(B466, MasterTable[IRA Custodian], MasterTable[City], ""), ", ",
           _xlfn.XLOOKUP(B466, MasterTable[IRA Custodian], MasterTable[State], ""), " ",
           _xlfn.XLOOKUP(B466, MasterTable[IRA Custodian], MasterTable[Zip], "")
       )
   )
)</f>
        <v>Empty Row</v>
      </c>
    </row>
    <row r="467" spans="1:10" x14ac:dyDescent="0.25">
      <c r="A467" t="str">
        <f>IF(D467="Empty Row", "Empty Row",
   _xlfn.LET(
       _xlpm.lookupResult, _xlfn.XLOOKUP(D467, RawDataTable[Account Name and Number], RawDataTable[Entity], "RAW DATA MISSING"),
       IF(ISBLANK(_xlpm.lookupResult), "RAW DATA MISSING", _xlpm.lookupResult)
   )
)</f>
        <v>Empty Row</v>
      </c>
      <c r="B467" t="str">
        <f>IF(D467="Empty Row", "Empty Row",
   _xlfn.LET(
       _xlpm.rawDataLookup, _xlfn.XLOOKUP(D467,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67" s="56" t="str" cm="1">
        <f t="array" ref="C467">IF(D467="Empty Row", "Empty Row",
   IF(COUNTIF('Name Mapping'!H:AD, D467) &gt; 0,
      INDEX('Name Mapping'!F:F, MATCH(TRUE, MMULT(--('Name Mapping'!H:AD=D467), TRANSPOSE(COLUMN('Name Mapping'!H:AD)^0)) &gt; 0, 0)),
      "")
)</f>
        <v>Empty Row</v>
      </c>
      <c r="D467" t="str">
        <f>IF(RawDataTable[[#This Row],[Account Name and Number]]&lt;&gt;"", RawDataTable[[#This Row],[Account Name and Number]], "Empty Row")</f>
        <v>Empty Row</v>
      </c>
      <c r="E467" s="28" t="str">
        <f>IF(D467="Empty Row", "Empty Row",
   _xlfn.LET(
       _xlpm.lookupResult, _xlfn.XLOOKUP(D467, RawDataTable[Account Name and Number], RawDataTable[Investment Date], "MISSING VALUE"),
       IF(ISNUMBER(_xlpm.lookupResult), _xlpm.lookupResult, "INVALID VALUE")
   )
)</f>
        <v>Empty Row</v>
      </c>
      <c r="F467" s="29" t="str">
        <f>IF(D467="Empty Row", "Empty Row",
   _xlfn.LET(
       _xlpm.lookupResult, _xlfn.XLOOKUP(D467, RawDataTable[Account Name and Number], RawDataTable[Investment Amount], "MISSING VALUE"),
       IF(ISNUMBER(_xlpm.lookupResult), _xlpm.lookupResult, "INVALID VALUE")
   )
)</f>
        <v>Empty Row</v>
      </c>
      <c r="G467" s="28" t="str">
        <f t="shared" ca="1" si="7"/>
        <v>Empty Row</v>
      </c>
      <c r="H467" s="29" t="str">
        <f>IF(D467="Empty Row", "Empty Row",
   _xlfn.LET(
       _xlpm.lookupResult, _xlfn.XLOOKUP(D467, RawDataTable[Account Name and Number], RawDataTable[Valuation Amount], "MISSING VALUE"),
       IF(ISNUMBER(_xlpm.lookupResult), _xlpm.lookupResult, "INVALID VALUE")
   )
)</f>
        <v>Empty Row</v>
      </c>
      <c r="I467" s="2" t="str">
        <f>IF(D467="Empty Row", "Empty Row", IF(_xlfn.XLOOKUP(B467, MasterTable[IRA Custodian], MasterTable[Address], "")="", "NO STREET NAME FOUND", _xlfn.XLOOKUP(B467, MasterTable[IRA Custodian], MasterTable[Address], "")))</f>
        <v>Empty Row</v>
      </c>
      <c r="J467" s="2" t="str">
        <f>IF(D467="Empty Row", "Empty Row",
   IF(OR(
       _xlfn.XLOOKUP(B467, MasterTable[IRA Custodian], MasterTable[City], "")="",
       _xlfn.XLOOKUP(B467, MasterTable[IRA Custodian], MasterTable[State], "")="",
       _xlfn.XLOOKUP(B467, MasterTable[IRA Custodian], MasterTable[Zip], "")=""),
       "INCOMPLETE ADDRESS",
       _xlfn.CONCAT(
           _xlfn.XLOOKUP(B467, MasterTable[IRA Custodian], MasterTable[City], ""), ", ",
           _xlfn.XLOOKUP(B467, MasterTable[IRA Custodian], MasterTable[State], ""), " ",
           _xlfn.XLOOKUP(B467, MasterTable[IRA Custodian], MasterTable[Zip], "")
       )
   )
)</f>
        <v>Empty Row</v>
      </c>
    </row>
    <row r="468" spans="1:10" x14ac:dyDescent="0.25">
      <c r="A468" t="str">
        <f>IF(D468="Empty Row", "Empty Row",
   _xlfn.LET(
       _xlpm.lookupResult, _xlfn.XLOOKUP(D468, RawDataTable[Account Name and Number], RawDataTable[Entity], "RAW DATA MISSING"),
       IF(ISBLANK(_xlpm.lookupResult), "RAW DATA MISSING", _xlpm.lookupResult)
   )
)</f>
        <v>Empty Row</v>
      </c>
      <c r="B468" t="str">
        <f>IF(D468="Empty Row", "Empty Row",
   _xlfn.LET(
       _xlpm.rawDataLookup, _xlfn.XLOOKUP(D468,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68" s="56" t="str" cm="1">
        <f t="array" ref="C468">IF(D468="Empty Row", "Empty Row",
   IF(COUNTIF('Name Mapping'!H:AD, D468) &gt; 0,
      INDEX('Name Mapping'!F:F, MATCH(TRUE, MMULT(--('Name Mapping'!H:AD=D468), TRANSPOSE(COLUMN('Name Mapping'!H:AD)^0)) &gt; 0, 0)),
      "")
)</f>
        <v>Empty Row</v>
      </c>
      <c r="D468" t="str">
        <f>IF(RawDataTable[[#This Row],[Account Name and Number]]&lt;&gt;"", RawDataTable[[#This Row],[Account Name and Number]], "Empty Row")</f>
        <v>Empty Row</v>
      </c>
      <c r="E468" s="28" t="str">
        <f>IF(D468="Empty Row", "Empty Row",
   _xlfn.LET(
       _xlpm.lookupResult, _xlfn.XLOOKUP(D468, RawDataTable[Account Name and Number], RawDataTable[Investment Date], "MISSING VALUE"),
       IF(ISNUMBER(_xlpm.lookupResult), _xlpm.lookupResult, "INVALID VALUE")
   )
)</f>
        <v>Empty Row</v>
      </c>
      <c r="F468" s="29" t="str">
        <f>IF(D468="Empty Row", "Empty Row",
   _xlfn.LET(
       _xlpm.lookupResult, _xlfn.XLOOKUP(D468, RawDataTable[Account Name and Number], RawDataTable[Investment Amount], "MISSING VALUE"),
       IF(ISNUMBER(_xlpm.lookupResult), _xlpm.lookupResult, "INVALID VALUE")
   )
)</f>
        <v>Empty Row</v>
      </c>
      <c r="G468" s="28" t="str">
        <f t="shared" ca="1" si="7"/>
        <v>Empty Row</v>
      </c>
      <c r="H468" s="29" t="str">
        <f>IF(D468="Empty Row", "Empty Row",
   _xlfn.LET(
       _xlpm.lookupResult, _xlfn.XLOOKUP(D468, RawDataTable[Account Name and Number], RawDataTable[Valuation Amount], "MISSING VALUE"),
       IF(ISNUMBER(_xlpm.lookupResult), _xlpm.lookupResult, "INVALID VALUE")
   )
)</f>
        <v>Empty Row</v>
      </c>
      <c r="I468" s="2" t="str">
        <f>IF(D468="Empty Row", "Empty Row", IF(_xlfn.XLOOKUP(B468, MasterTable[IRA Custodian], MasterTable[Address], "")="", "NO STREET NAME FOUND", _xlfn.XLOOKUP(B468, MasterTable[IRA Custodian], MasterTable[Address], "")))</f>
        <v>Empty Row</v>
      </c>
      <c r="J468" s="2" t="str">
        <f>IF(D468="Empty Row", "Empty Row",
   IF(OR(
       _xlfn.XLOOKUP(B468, MasterTable[IRA Custodian], MasterTable[City], "")="",
       _xlfn.XLOOKUP(B468, MasterTable[IRA Custodian], MasterTable[State], "")="",
       _xlfn.XLOOKUP(B468, MasterTable[IRA Custodian], MasterTable[Zip], "")=""),
       "INCOMPLETE ADDRESS",
       _xlfn.CONCAT(
           _xlfn.XLOOKUP(B468, MasterTable[IRA Custodian], MasterTable[City], ""), ", ",
           _xlfn.XLOOKUP(B468, MasterTable[IRA Custodian], MasterTable[State], ""), " ",
           _xlfn.XLOOKUP(B468, MasterTable[IRA Custodian], MasterTable[Zip], "")
       )
   )
)</f>
        <v>Empty Row</v>
      </c>
    </row>
    <row r="469" spans="1:10" x14ac:dyDescent="0.25">
      <c r="A469" t="str">
        <f>IF(D469="Empty Row", "Empty Row",
   _xlfn.LET(
       _xlpm.lookupResult, _xlfn.XLOOKUP(D469, RawDataTable[Account Name and Number], RawDataTable[Entity], "RAW DATA MISSING"),
       IF(ISBLANK(_xlpm.lookupResult), "RAW DATA MISSING", _xlpm.lookupResult)
   )
)</f>
        <v>Empty Row</v>
      </c>
      <c r="B469" t="str">
        <f>IF(D469="Empty Row", "Empty Row",
   _xlfn.LET(
       _xlpm.rawDataLookup, _xlfn.XLOOKUP(D469,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69" s="56" t="str" cm="1">
        <f t="array" ref="C469">IF(D469="Empty Row", "Empty Row",
   IF(COUNTIF('Name Mapping'!H:AD, D469) &gt; 0,
      INDEX('Name Mapping'!F:F, MATCH(TRUE, MMULT(--('Name Mapping'!H:AD=D469), TRANSPOSE(COLUMN('Name Mapping'!H:AD)^0)) &gt; 0, 0)),
      "")
)</f>
        <v>Empty Row</v>
      </c>
      <c r="D469" t="str">
        <f>IF(RawDataTable[[#This Row],[Account Name and Number]]&lt;&gt;"", RawDataTable[[#This Row],[Account Name and Number]], "Empty Row")</f>
        <v>Empty Row</v>
      </c>
      <c r="E469" s="28" t="str">
        <f>IF(D469="Empty Row", "Empty Row",
   _xlfn.LET(
       _xlpm.lookupResult, _xlfn.XLOOKUP(D469, RawDataTable[Account Name and Number], RawDataTable[Investment Date], "MISSING VALUE"),
       IF(ISNUMBER(_xlpm.lookupResult), _xlpm.lookupResult, "INVALID VALUE")
   )
)</f>
        <v>Empty Row</v>
      </c>
      <c r="F469" s="29" t="str">
        <f>IF(D469="Empty Row", "Empty Row",
   _xlfn.LET(
       _xlpm.lookupResult, _xlfn.XLOOKUP(D469, RawDataTable[Account Name and Number], RawDataTable[Investment Amount], "MISSING VALUE"),
       IF(ISNUMBER(_xlpm.lookupResult), _xlpm.lookupResult, "INVALID VALUE")
   )
)</f>
        <v>Empty Row</v>
      </c>
      <c r="G469" s="28" t="str">
        <f t="shared" ca="1" si="7"/>
        <v>Empty Row</v>
      </c>
      <c r="H469" s="29" t="str">
        <f>IF(D469="Empty Row", "Empty Row",
   _xlfn.LET(
       _xlpm.lookupResult, _xlfn.XLOOKUP(D469, RawDataTable[Account Name and Number], RawDataTable[Valuation Amount], "MISSING VALUE"),
       IF(ISNUMBER(_xlpm.lookupResult), _xlpm.lookupResult, "INVALID VALUE")
   )
)</f>
        <v>Empty Row</v>
      </c>
      <c r="I469" s="2" t="str">
        <f>IF(D469="Empty Row", "Empty Row", IF(_xlfn.XLOOKUP(B469, MasterTable[IRA Custodian], MasterTable[Address], "")="", "NO STREET NAME FOUND", _xlfn.XLOOKUP(B469, MasterTable[IRA Custodian], MasterTable[Address], "")))</f>
        <v>Empty Row</v>
      </c>
      <c r="J469" s="2" t="str">
        <f>IF(D469="Empty Row", "Empty Row",
   IF(OR(
       _xlfn.XLOOKUP(B469, MasterTable[IRA Custodian], MasterTable[City], "")="",
       _xlfn.XLOOKUP(B469, MasterTable[IRA Custodian], MasterTable[State], "")="",
       _xlfn.XLOOKUP(B469, MasterTable[IRA Custodian], MasterTable[Zip], "")=""),
       "INCOMPLETE ADDRESS",
       _xlfn.CONCAT(
           _xlfn.XLOOKUP(B469, MasterTable[IRA Custodian], MasterTable[City], ""), ", ",
           _xlfn.XLOOKUP(B469, MasterTable[IRA Custodian], MasterTable[State], ""), " ",
           _xlfn.XLOOKUP(B469, MasterTable[IRA Custodian], MasterTable[Zip], "")
       )
   )
)</f>
        <v>Empty Row</v>
      </c>
    </row>
    <row r="470" spans="1:10" x14ac:dyDescent="0.25">
      <c r="A470" t="str">
        <f>IF(D470="Empty Row", "Empty Row",
   _xlfn.LET(
       _xlpm.lookupResult, _xlfn.XLOOKUP(D470, RawDataTable[Account Name and Number], RawDataTable[Entity], "RAW DATA MISSING"),
       IF(ISBLANK(_xlpm.lookupResult), "RAW DATA MISSING", _xlpm.lookupResult)
   )
)</f>
        <v>Empty Row</v>
      </c>
      <c r="B470" t="str">
        <f>IF(D470="Empty Row", "Empty Row",
   _xlfn.LET(
       _xlpm.rawDataLookup, _xlfn.XLOOKUP(D470,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70" s="56" t="str" cm="1">
        <f t="array" ref="C470">IF(D470="Empty Row", "Empty Row",
   IF(COUNTIF('Name Mapping'!H:AD, D470) &gt; 0,
      INDEX('Name Mapping'!F:F, MATCH(TRUE, MMULT(--('Name Mapping'!H:AD=D470), TRANSPOSE(COLUMN('Name Mapping'!H:AD)^0)) &gt; 0, 0)),
      "")
)</f>
        <v>Empty Row</v>
      </c>
      <c r="D470" t="str">
        <f>IF(RawDataTable[[#This Row],[Account Name and Number]]&lt;&gt;"", RawDataTable[[#This Row],[Account Name and Number]], "Empty Row")</f>
        <v>Empty Row</v>
      </c>
      <c r="E470" s="28" t="str">
        <f>IF(D470="Empty Row", "Empty Row",
   _xlfn.LET(
       _xlpm.lookupResult, _xlfn.XLOOKUP(D470, RawDataTable[Account Name and Number], RawDataTable[Investment Date], "MISSING VALUE"),
       IF(ISNUMBER(_xlpm.lookupResult), _xlpm.lookupResult, "INVALID VALUE")
   )
)</f>
        <v>Empty Row</v>
      </c>
      <c r="F470" s="29" t="str">
        <f>IF(D470="Empty Row", "Empty Row",
   _xlfn.LET(
       _xlpm.lookupResult, _xlfn.XLOOKUP(D470, RawDataTable[Account Name and Number], RawDataTable[Investment Amount], "MISSING VALUE"),
       IF(ISNUMBER(_xlpm.lookupResult), _xlpm.lookupResult, "INVALID VALUE")
   )
)</f>
        <v>Empty Row</v>
      </c>
      <c r="G470" s="28" t="str">
        <f t="shared" ca="1" si="7"/>
        <v>Empty Row</v>
      </c>
      <c r="H470" s="29" t="str">
        <f>IF(D470="Empty Row", "Empty Row",
   _xlfn.LET(
       _xlpm.lookupResult, _xlfn.XLOOKUP(D470, RawDataTable[Account Name and Number], RawDataTable[Valuation Amount], "MISSING VALUE"),
       IF(ISNUMBER(_xlpm.lookupResult), _xlpm.lookupResult, "INVALID VALUE")
   )
)</f>
        <v>Empty Row</v>
      </c>
      <c r="I470" s="2" t="str">
        <f>IF(D470="Empty Row", "Empty Row", IF(_xlfn.XLOOKUP(B470, MasterTable[IRA Custodian], MasterTable[Address], "")="", "NO STREET NAME FOUND", _xlfn.XLOOKUP(B470, MasterTable[IRA Custodian], MasterTable[Address], "")))</f>
        <v>Empty Row</v>
      </c>
      <c r="J470" s="2" t="str">
        <f>IF(D470="Empty Row", "Empty Row",
   IF(OR(
       _xlfn.XLOOKUP(B470, MasterTable[IRA Custodian], MasterTable[City], "")="",
       _xlfn.XLOOKUP(B470, MasterTable[IRA Custodian], MasterTable[State], "")="",
       _xlfn.XLOOKUP(B470, MasterTable[IRA Custodian], MasterTable[Zip], "")=""),
       "INCOMPLETE ADDRESS",
       _xlfn.CONCAT(
           _xlfn.XLOOKUP(B470, MasterTable[IRA Custodian], MasterTable[City], ""), ", ",
           _xlfn.XLOOKUP(B470, MasterTable[IRA Custodian], MasterTable[State], ""), " ",
           _xlfn.XLOOKUP(B470, MasterTable[IRA Custodian], MasterTable[Zip], "")
       )
   )
)</f>
        <v>Empty Row</v>
      </c>
    </row>
    <row r="471" spans="1:10" x14ac:dyDescent="0.25">
      <c r="A471" t="str">
        <f>IF(D471="Empty Row", "Empty Row",
   _xlfn.LET(
       _xlpm.lookupResult, _xlfn.XLOOKUP(D471, RawDataTable[Account Name and Number], RawDataTable[Entity], "RAW DATA MISSING"),
       IF(ISBLANK(_xlpm.lookupResult), "RAW DATA MISSING", _xlpm.lookupResult)
   )
)</f>
        <v>Empty Row</v>
      </c>
      <c r="B471" t="str">
        <f>IF(D471="Empty Row", "Empty Row",
   _xlfn.LET(
       _xlpm.rawDataLookup, _xlfn.XLOOKUP(D471,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71" s="56" t="str" cm="1">
        <f t="array" ref="C471">IF(D471="Empty Row", "Empty Row",
   IF(COUNTIF('Name Mapping'!H:AD, D471) &gt; 0,
      INDEX('Name Mapping'!F:F, MATCH(TRUE, MMULT(--('Name Mapping'!H:AD=D471), TRANSPOSE(COLUMN('Name Mapping'!H:AD)^0)) &gt; 0, 0)),
      "")
)</f>
        <v>Empty Row</v>
      </c>
      <c r="D471" t="str">
        <f>IF(RawDataTable[[#This Row],[Account Name and Number]]&lt;&gt;"", RawDataTable[[#This Row],[Account Name and Number]], "Empty Row")</f>
        <v>Empty Row</v>
      </c>
      <c r="E471" s="28" t="str">
        <f>IF(D471="Empty Row", "Empty Row",
   _xlfn.LET(
       _xlpm.lookupResult, _xlfn.XLOOKUP(D471, RawDataTable[Account Name and Number], RawDataTable[Investment Date], "MISSING VALUE"),
       IF(ISNUMBER(_xlpm.lookupResult), _xlpm.lookupResult, "INVALID VALUE")
   )
)</f>
        <v>Empty Row</v>
      </c>
      <c r="F471" s="29" t="str">
        <f>IF(D471="Empty Row", "Empty Row",
   _xlfn.LET(
       _xlpm.lookupResult, _xlfn.XLOOKUP(D471, RawDataTable[Account Name and Number], RawDataTable[Investment Amount], "MISSING VALUE"),
       IF(ISNUMBER(_xlpm.lookupResult), _xlpm.lookupResult, "INVALID VALUE")
   )
)</f>
        <v>Empty Row</v>
      </c>
      <c r="G471" s="28" t="str">
        <f t="shared" ca="1" si="7"/>
        <v>Empty Row</v>
      </c>
      <c r="H471" s="29" t="str">
        <f>IF(D471="Empty Row", "Empty Row",
   _xlfn.LET(
       _xlpm.lookupResult, _xlfn.XLOOKUP(D471, RawDataTable[Account Name and Number], RawDataTable[Valuation Amount], "MISSING VALUE"),
       IF(ISNUMBER(_xlpm.lookupResult), _xlpm.lookupResult, "INVALID VALUE")
   )
)</f>
        <v>Empty Row</v>
      </c>
      <c r="I471" s="2" t="str">
        <f>IF(D471="Empty Row", "Empty Row", IF(_xlfn.XLOOKUP(B471, MasterTable[IRA Custodian], MasterTable[Address], "")="", "NO STREET NAME FOUND", _xlfn.XLOOKUP(B471, MasterTable[IRA Custodian], MasterTable[Address], "")))</f>
        <v>Empty Row</v>
      </c>
      <c r="J471" s="2" t="str">
        <f>IF(D471="Empty Row", "Empty Row",
   IF(OR(
       _xlfn.XLOOKUP(B471, MasterTable[IRA Custodian], MasterTable[City], "")="",
       _xlfn.XLOOKUP(B471, MasterTable[IRA Custodian], MasterTable[State], "")="",
       _xlfn.XLOOKUP(B471, MasterTable[IRA Custodian], MasterTable[Zip], "")=""),
       "INCOMPLETE ADDRESS",
       _xlfn.CONCAT(
           _xlfn.XLOOKUP(B471, MasterTable[IRA Custodian], MasterTable[City], ""), ", ",
           _xlfn.XLOOKUP(B471, MasterTable[IRA Custodian], MasterTable[State], ""), " ",
           _xlfn.XLOOKUP(B471, MasterTable[IRA Custodian], MasterTable[Zip], "")
       )
   )
)</f>
        <v>Empty Row</v>
      </c>
    </row>
    <row r="472" spans="1:10" x14ac:dyDescent="0.25">
      <c r="A472" t="str">
        <f>IF(D472="Empty Row", "Empty Row",
   _xlfn.LET(
       _xlpm.lookupResult, _xlfn.XLOOKUP(D472, RawDataTable[Account Name and Number], RawDataTable[Entity], "RAW DATA MISSING"),
       IF(ISBLANK(_xlpm.lookupResult), "RAW DATA MISSING", _xlpm.lookupResult)
   )
)</f>
        <v>Empty Row</v>
      </c>
      <c r="B472" t="str">
        <f>IF(D472="Empty Row", "Empty Row",
   _xlfn.LET(
       _xlpm.rawDataLookup, _xlfn.XLOOKUP(D472,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72" s="56" t="str" cm="1">
        <f t="array" ref="C472">IF(D472="Empty Row", "Empty Row",
   IF(COUNTIF('Name Mapping'!H:AD, D472) &gt; 0,
      INDEX('Name Mapping'!F:F, MATCH(TRUE, MMULT(--('Name Mapping'!H:AD=D472), TRANSPOSE(COLUMN('Name Mapping'!H:AD)^0)) &gt; 0, 0)),
      "")
)</f>
        <v>Empty Row</v>
      </c>
      <c r="D472" t="str">
        <f>IF(RawDataTable[[#This Row],[Account Name and Number]]&lt;&gt;"", RawDataTable[[#This Row],[Account Name and Number]], "Empty Row")</f>
        <v>Empty Row</v>
      </c>
      <c r="E472" s="28" t="str">
        <f>IF(D472="Empty Row", "Empty Row",
   _xlfn.LET(
       _xlpm.lookupResult, _xlfn.XLOOKUP(D472, RawDataTable[Account Name and Number], RawDataTable[Investment Date], "MISSING VALUE"),
       IF(ISNUMBER(_xlpm.lookupResult), _xlpm.lookupResult, "INVALID VALUE")
   )
)</f>
        <v>Empty Row</v>
      </c>
      <c r="F472" s="29" t="str">
        <f>IF(D472="Empty Row", "Empty Row",
   _xlfn.LET(
       _xlpm.lookupResult, _xlfn.XLOOKUP(D472, RawDataTable[Account Name and Number], RawDataTable[Investment Amount], "MISSING VALUE"),
       IF(ISNUMBER(_xlpm.lookupResult), _xlpm.lookupResult, "INVALID VALUE")
   )
)</f>
        <v>Empty Row</v>
      </c>
      <c r="G472" s="28" t="str">
        <f t="shared" ca="1" si="7"/>
        <v>Empty Row</v>
      </c>
      <c r="H472" s="29" t="str">
        <f>IF(D472="Empty Row", "Empty Row",
   _xlfn.LET(
       _xlpm.lookupResult, _xlfn.XLOOKUP(D472, RawDataTable[Account Name and Number], RawDataTable[Valuation Amount], "MISSING VALUE"),
       IF(ISNUMBER(_xlpm.lookupResult), _xlpm.lookupResult, "INVALID VALUE")
   )
)</f>
        <v>Empty Row</v>
      </c>
      <c r="I472" s="2" t="str">
        <f>IF(D472="Empty Row", "Empty Row", IF(_xlfn.XLOOKUP(B472, MasterTable[IRA Custodian], MasterTable[Address], "")="", "NO STREET NAME FOUND", _xlfn.XLOOKUP(B472, MasterTable[IRA Custodian], MasterTable[Address], "")))</f>
        <v>Empty Row</v>
      </c>
      <c r="J472" s="2" t="str">
        <f>IF(D472="Empty Row", "Empty Row",
   IF(OR(
       _xlfn.XLOOKUP(B472, MasterTable[IRA Custodian], MasterTable[City], "")="",
       _xlfn.XLOOKUP(B472, MasterTable[IRA Custodian], MasterTable[State], "")="",
       _xlfn.XLOOKUP(B472, MasterTable[IRA Custodian], MasterTable[Zip], "")=""),
       "INCOMPLETE ADDRESS",
       _xlfn.CONCAT(
           _xlfn.XLOOKUP(B472, MasterTable[IRA Custodian], MasterTable[City], ""), ", ",
           _xlfn.XLOOKUP(B472, MasterTable[IRA Custodian], MasterTable[State], ""), " ",
           _xlfn.XLOOKUP(B472, MasterTable[IRA Custodian], MasterTable[Zip], "")
       )
   )
)</f>
        <v>Empty Row</v>
      </c>
    </row>
    <row r="473" spans="1:10" x14ac:dyDescent="0.25">
      <c r="A473" t="str">
        <f>IF(D473="Empty Row", "Empty Row",
   _xlfn.LET(
       _xlpm.lookupResult, _xlfn.XLOOKUP(D473, RawDataTable[Account Name and Number], RawDataTable[Entity], "RAW DATA MISSING"),
       IF(ISBLANK(_xlpm.lookupResult), "RAW DATA MISSING", _xlpm.lookupResult)
   )
)</f>
        <v>Empty Row</v>
      </c>
      <c r="B473" t="str">
        <f>IF(D473="Empty Row", "Empty Row",
   _xlfn.LET(
       _xlpm.rawDataLookup, _xlfn.XLOOKUP(D473,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73" s="56" t="str" cm="1">
        <f t="array" ref="C473">IF(D473="Empty Row", "Empty Row",
   IF(COUNTIF('Name Mapping'!H:AD, D473) &gt; 0,
      INDEX('Name Mapping'!F:F, MATCH(TRUE, MMULT(--('Name Mapping'!H:AD=D473), TRANSPOSE(COLUMN('Name Mapping'!H:AD)^0)) &gt; 0, 0)),
      "")
)</f>
        <v>Empty Row</v>
      </c>
      <c r="D473" t="str">
        <f>IF(RawDataTable[[#This Row],[Account Name and Number]]&lt;&gt;"", RawDataTable[[#This Row],[Account Name and Number]], "Empty Row")</f>
        <v>Empty Row</v>
      </c>
      <c r="E473" s="28" t="str">
        <f>IF(D473="Empty Row", "Empty Row",
   _xlfn.LET(
       _xlpm.lookupResult, _xlfn.XLOOKUP(D473, RawDataTable[Account Name and Number], RawDataTable[Investment Date], "MISSING VALUE"),
       IF(ISNUMBER(_xlpm.lookupResult), _xlpm.lookupResult, "INVALID VALUE")
   )
)</f>
        <v>Empty Row</v>
      </c>
      <c r="F473" s="29" t="str">
        <f>IF(D473="Empty Row", "Empty Row",
   _xlfn.LET(
       _xlpm.lookupResult, _xlfn.XLOOKUP(D473, RawDataTable[Account Name and Number], RawDataTable[Investment Amount], "MISSING VALUE"),
       IF(ISNUMBER(_xlpm.lookupResult), _xlpm.lookupResult, "INVALID VALUE")
   )
)</f>
        <v>Empty Row</v>
      </c>
      <c r="G473" s="28" t="str">
        <f t="shared" ca="1" si="7"/>
        <v>Empty Row</v>
      </c>
      <c r="H473" s="29" t="str">
        <f>IF(D473="Empty Row", "Empty Row",
   _xlfn.LET(
       _xlpm.lookupResult, _xlfn.XLOOKUP(D473, RawDataTable[Account Name and Number], RawDataTable[Valuation Amount], "MISSING VALUE"),
       IF(ISNUMBER(_xlpm.lookupResult), _xlpm.lookupResult, "INVALID VALUE")
   )
)</f>
        <v>Empty Row</v>
      </c>
      <c r="I473" s="2" t="str">
        <f>IF(D473="Empty Row", "Empty Row", IF(_xlfn.XLOOKUP(B473, MasterTable[IRA Custodian], MasterTable[Address], "")="", "NO STREET NAME FOUND", _xlfn.XLOOKUP(B473, MasterTable[IRA Custodian], MasterTable[Address], "")))</f>
        <v>Empty Row</v>
      </c>
      <c r="J473" s="2" t="str">
        <f>IF(D473="Empty Row", "Empty Row",
   IF(OR(
       _xlfn.XLOOKUP(B473, MasterTable[IRA Custodian], MasterTable[City], "")="",
       _xlfn.XLOOKUP(B473, MasterTable[IRA Custodian], MasterTable[State], "")="",
       _xlfn.XLOOKUP(B473, MasterTable[IRA Custodian], MasterTable[Zip], "")=""),
       "INCOMPLETE ADDRESS",
       _xlfn.CONCAT(
           _xlfn.XLOOKUP(B473, MasterTable[IRA Custodian], MasterTable[City], ""), ", ",
           _xlfn.XLOOKUP(B473, MasterTable[IRA Custodian], MasterTable[State], ""), " ",
           _xlfn.XLOOKUP(B473, MasterTable[IRA Custodian], MasterTable[Zip], "")
       )
   )
)</f>
        <v>Empty Row</v>
      </c>
    </row>
    <row r="474" spans="1:10" x14ac:dyDescent="0.25">
      <c r="A474" t="str">
        <f>IF(D474="Empty Row", "Empty Row",
   _xlfn.LET(
       _xlpm.lookupResult, _xlfn.XLOOKUP(D474, RawDataTable[Account Name and Number], RawDataTable[Entity], "RAW DATA MISSING"),
       IF(ISBLANK(_xlpm.lookupResult), "RAW DATA MISSING", _xlpm.lookupResult)
   )
)</f>
        <v>Empty Row</v>
      </c>
      <c r="B474" t="str">
        <f>IF(D474="Empty Row", "Empty Row",
   _xlfn.LET(
       _xlpm.rawDataLookup, _xlfn.XLOOKUP(D474,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74" s="56" t="str" cm="1">
        <f t="array" ref="C474">IF(D474="Empty Row", "Empty Row",
   IF(COUNTIF('Name Mapping'!H:AD, D474) &gt; 0,
      INDEX('Name Mapping'!F:F, MATCH(TRUE, MMULT(--('Name Mapping'!H:AD=D474), TRANSPOSE(COLUMN('Name Mapping'!H:AD)^0)) &gt; 0, 0)),
      "")
)</f>
        <v>Empty Row</v>
      </c>
      <c r="D474" t="str">
        <f>IF(RawDataTable[[#This Row],[Account Name and Number]]&lt;&gt;"", RawDataTable[[#This Row],[Account Name and Number]], "Empty Row")</f>
        <v>Empty Row</v>
      </c>
      <c r="E474" s="28" t="str">
        <f>IF(D474="Empty Row", "Empty Row",
   _xlfn.LET(
       _xlpm.lookupResult, _xlfn.XLOOKUP(D474, RawDataTable[Account Name and Number], RawDataTable[Investment Date], "MISSING VALUE"),
       IF(ISNUMBER(_xlpm.lookupResult), _xlpm.lookupResult, "INVALID VALUE")
   )
)</f>
        <v>Empty Row</v>
      </c>
      <c r="F474" s="29" t="str">
        <f>IF(D474="Empty Row", "Empty Row",
   _xlfn.LET(
       _xlpm.lookupResult, _xlfn.XLOOKUP(D474, RawDataTable[Account Name and Number], RawDataTable[Investment Amount], "MISSING VALUE"),
       IF(ISNUMBER(_xlpm.lookupResult), _xlpm.lookupResult, "INVALID VALUE")
   )
)</f>
        <v>Empty Row</v>
      </c>
      <c r="G474" s="28" t="str">
        <f t="shared" ca="1" si="7"/>
        <v>Empty Row</v>
      </c>
      <c r="H474" s="29" t="str">
        <f>IF(D474="Empty Row", "Empty Row",
   _xlfn.LET(
       _xlpm.lookupResult, _xlfn.XLOOKUP(D474, RawDataTable[Account Name and Number], RawDataTable[Valuation Amount], "MISSING VALUE"),
       IF(ISNUMBER(_xlpm.lookupResult), _xlpm.lookupResult, "INVALID VALUE")
   )
)</f>
        <v>Empty Row</v>
      </c>
      <c r="I474" s="2" t="str">
        <f>IF(D474="Empty Row", "Empty Row", IF(_xlfn.XLOOKUP(B474, MasterTable[IRA Custodian], MasterTable[Address], "")="", "NO STREET NAME FOUND", _xlfn.XLOOKUP(B474, MasterTable[IRA Custodian], MasterTable[Address], "")))</f>
        <v>Empty Row</v>
      </c>
      <c r="J474" s="2" t="str">
        <f>IF(D474="Empty Row", "Empty Row",
   IF(OR(
       _xlfn.XLOOKUP(B474, MasterTable[IRA Custodian], MasterTable[City], "")="",
       _xlfn.XLOOKUP(B474, MasterTable[IRA Custodian], MasterTable[State], "")="",
       _xlfn.XLOOKUP(B474, MasterTable[IRA Custodian], MasterTable[Zip], "")=""),
       "INCOMPLETE ADDRESS",
       _xlfn.CONCAT(
           _xlfn.XLOOKUP(B474, MasterTable[IRA Custodian], MasterTable[City], ""), ", ",
           _xlfn.XLOOKUP(B474, MasterTable[IRA Custodian], MasterTable[State], ""), " ",
           _xlfn.XLOOKUP(B474, MasterTable[IRA Custodian], MasterTable[Zip], "")
       )
   )
)</f>
        <v>Empty Row</v>
      </c>
    </row>
    <row r="475" spans="1:10" x14ac:dyDescent="0.25">
      <c r="A475" t="str">
        <f>IF(D475="Empty Row", "Empty Row",
   _xlfn.LET(
       _xlpm.lookupResult, _xlfn.XLOOKUP(D475, RawDataTable[Account Name and Number], RawDataTable[Entity], "RAW DATA MISSING"),
       IF(ISBLANK(_xlpm.lookupResult), "RAW DATA MISSING", _xlpm.lookupResult)
   )
)</f>
        <v>Empty Row</v>
      </c>
      <c r="B475" t="str">
        <f>IF(D475="Empty Row", "Empty Row",
   _xlfn.LET(
       _xlpm.rawDataLookup, _xlfn.XLOOKUP(D475,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75" s="56" t="str" cm="1">
        <f t="array" ref="C475">IF(D475="Empty Row", "Empty Row",
   IF(COUNTIF('Name Mapping'!H:AD, D475) &gt; 0,
      INDEX('Name Mapping'!F:F, MATCH(TRUE, MMULT(--('Name Mapping'!H:AD=D475), TRANSPOSE(COLUMN('Name Mapping'!H:AD)^0)) &gt; 0, 0)),
      "")
)</f>
        <v>Empty Row</v>
      </c>
      <c r="D475" t="str">
        <f>IF(RawDataTable[[#This Row],[Account Name and Number]]&lt;&gt;"", RawDataTable[[#This Row],[Account Name and Number]], "Empty Row")</f>
        <v>Empty Row</v>
      </c>
      <c r="E475" s="28" t="str">
        <f>IF(D475="Empty Row", "Empty Row",
   _xlfn.LET(
       _xlpm.lookupResult, _xlfn.XLOOKUP(D475, RawDataTable[Account Name and Number], RawDataTable[Investment Date], "MISSING VALUE"),
       IF(ISNUMBER(_xlpm.lookupResult), _xlpm.lookupResult, "INVALID VALUE")
   )
)</f>
        <v>Empty Row</v>
      </c>
      <c r="F475" s="29" t="str">
        <f>IF(D475="Empty Row", "Empty Row",
   _xlfn.LET(
       _xlpm.lookupResult, _xlfn.XLOOKUP(D475, RawDataTable[Account Name and Number], RawDataTable[Investment Amount], "MISSING VALUE"),
       IF(ISNUMBER(_xlpm.lookupResult), _xlpm.lookupResult, "INVALID VALUE")
   )
)</f>
        <v>Empty Row</v>
      </c>
      <c r="G475" s="28" t="str">
        <f t="shared" ca="1" si="7"/>
        <v>Empty Row</v>
      </c>
      <c r="H475" s="29" t="str">
        <f>IF(D475="Empty Row", "Empty Row",
   _xlfn.LET(
       _xlpm.lookupResult, _xlfn.XLOOKUP(D475, RawDataTable[Account Name and Number], RawDataTable[Valuation Amount], "MISSING VALUE"),
       IF(ISNUMBER(_xlpm.lookupResult), _xlpm.lookupResult, "INVALID VALUE")
   )
)</f>
        <v>Empty Row</v>
      </c>
      <c r="I475" s="2" t="str">
        <f>IF(D475="Empty Row", "Empty Row", IF(_xlfn.XLOOKUP(B475, MasterTable[IRA Custodian], MasterTable[Address], "")="", "NO STREET NAME FOUND", _xlfn.XLOOKUP(B475, MasterTable[IRA Custodian], MasterTable[Address], "")))</f>
        <v>Empty Row</v>
      </c>
      <c r="J475" s="2" t="str">
        <f>IF(D475="Empty Row", "Empty Row",
   IF(OR(
       _xlfn.XLOOKUP(B475, MasterTable[IRA Custodian], MasterTable[City], "")="",
       _xlfn.XLOOKUP(B475, MasterTable[IRA Custodian], MasterTable[State], "")="",
       _xlfn.XLOOKUP(B475, MasterTable[IRA Custodian], MasterTable[Zip], "")=""),
       "INCOMPLETE ADDRESS",
       _xlfn.CONCAT(
           _xlfn.XLOOKUP(B475, MasterTable[IRA Custodian], MasterTable[City], ""), ", ",
           _xlfn.XLOOKUP(B475, MasterTable[IRA Custodian], MasterTable[State], ""), " ",
           _xlfn.XLOOKUP(B475, MasterTable[IRA Custodian], MasterTable[Zip], "")
       )
   )
)</f>
        <v>Empty Row</v>
      </c>
    </row>
    <row r="476" spans="1:10" x14ac:dyDescent="0.25">
      <c r="A476" t="str">
        <f>IF(D476="Empty Row", "Empty Row",
   _xlfn.LET(
       _xlpm.lookupResult, _xlfn.XLOOKUP(D476, RawDataTable[Account Name and Number], RawDataTable[Entity], "RAW DATA MISSING"),
       IF(ISBLANK(_xlpm.lookupResult), "RAW DATA MISSING", _xlpm.lookupResult)
   )
)</f>
        <v>Empty Row</v>
      </c>
      <c r="B476" t="str">
        <f>IF(D476="Empty Row", "Empty Row",
   _xlfn.LET(
       _xlpm.rawDataLookup, _xlfn.XLOOKUP(D476,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76" s="56" t="str" cm="1">
        <f t="array" ref="C476">IF(D476="Empty Row", "Empty Row",
   IF(COUNTIF('Name Mapping'!H:AD, D476) &gt; 0,
      INDEX('Name Mapping'!F:F, MATCH(TRUE, MMULT(--('Name Mapping'!H:AD=D476), TRANSPOSE(COLUMN('Name Mapping'!H:AD)^0)) &gt; 0, 0)),
      "")
)</f>
        <v>Empty Row</v>
      </c>
      <c r="D476" t="str">
        <f>IF(RawDataTable[[#This Row],[Account Name and Number]]&lt;&gt;"", RawDataTable[[#This Row],[Account Name and Number]], "Empty Row")</f>
        <v>Empty Row</v>
      </c>
      <c r="E476" s="28" t="str">
        <f>IF(D476="Empty Row", "Empty Row",
   _xlfn.LET(
       _xlpm.lookupResult, _xlfn.XLOOKUP(D476, RawDataTable[Account Name and Number], RawDataTable[Investment Date], "MISSING VALUE"),
       IF(ISNUMBER(_xlpm.lookupResult), _xlpm.lookupResult, "INVALID VALUE")
   )
)</f>
        <v>Empty Row</v>
      </c>
      <c r="F476" s="29" t="str">
        <f>IF(D476="Empty Row", "Empty Row",
   _xlfn.LET(
       _xlpm.lookupResult, _xlfn.XLOOKUP(D476, RawDataTable[Account Name and Number], RawDataTable[Investment Amount], "MISSING VALUE"),
       IF(ISNUMBER(_xlpm.lookupResult), _xlpm.lookupResult, "INVALID VALUE")
   )
)</f>
        <v>Empty Row</v>
      </c>
      <c r="G476" s="28" t="str">
        <f t="shared" ca="1" si="7"/>
        <v>Empty Row</v>
      </c>
      <c r="H476" s="29" t="str">
        <f>IF(D476="Empty Row", "Empty Row",
   _xlfn.LET(
       _xlpm.lookupResult, _xlfn.XLOOKUP(D476, RawDataTable[Account Name and Number], RawDataTable[Valuation Amount], "MISSING VALUE"),
       IF(ISNUMBER(_xlpm.lookupResult), _xlpm.lookupResult, "INVALID VALUE")
   )
)</f>
        <v>Empty Row</v>
      </c>
      <c r="I476" s="2" t="str">
        <f>IF(D476="Empty Row", "Empty Row", IF(_xlfn.XLOOKUP(B476, MasterTable[IRA Custodian], MasterTable[Address], "")="", "NO STREET NAME FOUND", _xlfn.XLOOKUP(B476, MasterTable[IRA Custodian], MasterTable[Address], "")))</f>
        <v>Empty Row</v>
      </c>
      <c r="J476" s="2" t="str">
        <f>IF(D476="Empty Row", "Empty Row",
   IF(OR(
       _xlfn.XLOOKUP(B476, MasterTable[IRA Custodian], MasterTable[City], "")="",
       _xlfn.XLOOKUP(B476, MasterTable[IRA Custodian], MasterTable[State], "")="",
       _xlfn.XLOOKUP(B476, MasterTable[IRA Custodian], MasterTable[Zip], "")=""),
       "INCOMPLETE ADDRESS",
       _xlfn.CONCAT(
           _xlfn.XLOOKUP(B476, MasterTable[IRA Custodian], MasterTable[City], ""), ", ",
           _xlfn.XLOOKUP(B476, MasterTable[IRA Custodian], MasterTable[State], ""), " ",
           _xlfn.XLOOKUP(B476, MasterTable[IRA Custodian], MasterTable[Zip], "")
       )
   )
)</f>
        <v>Empty Row</v>
      </c>
    </row>
    <row r="477" spans="1:10" x14ac:dyDescent="0.25">
      <c r="A477" t="str">
        <f>IF(D477="Empty Row", "Empty Row",
   _xlfn.LET(
       _xlpm.lookupResult, _xlfn.XLOOKUP(D477, RawDataTable[Account Name and Number], RawDataTable[Entity], "RAW DATA MISSING"),
       IF(ISBLANK(_xlpm.lookupResult), "RAW DATA MISSING", _xlpm.lookupResult)
   )
)</f>
        <v>Empty Row</v>
      </c>
      <c r="B477" t="str">
        <f>IF(D477="Empty Row", "Empty Row",
   _xlfn.LET(
       _xlpm.rawDataLookup, _xlfn.XLOOKUP(D477,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77" s="56" t="str" cm="1">
        <f t="array" ref="C477">IF(D477="Empty Row", "Empty Row",
   IF(COUNTIF('Name Mapping'!H:AD, D477) &gt; 0,
      INDEX('Name Mapping'!F:F, MATCH(TRUE, MMULT(--('Name Mapping'!H:AD=D477), TRANSPOSE(COLUMN('Name Mapping'!H:AD)^0)) &gt; 0, 0)),
      "")
)</f>
        <v>Empty Row</v>
      </c>
      <c r="D477" t="str">
        <f>IF(RawDataTable[[#This Row],[Account Name and Number]]&lt;&gt;"", RawDataTable[[#This Row],[Account Name and Number]], "Empty Row")</f>
        <v>Empty Row</v>
      </c>
      <c r="E477" s="28" t="str">
        <f>IF(D477="Empty Row", "Empty Row",
   _xlfn.LET(
       _xlpm.lookupResult, _xlfn.XLOOKUP(D477, RawDataTable[Account Name and Number], RawDataTable[Investment Date], "MISSING VALUE"),
       IF(ISNUMBER(_xlpm.lookupResult), _xlpm.lookupResult, "INVALID VALUE")
   )
)</f>
        <v>Empty Row</v>
      </c>
      <c r="F477" s="29" t="str">
        <f>IF(D477="Empty Row", "Empty Row",
   _xlfn.LET(
       _xlpm.lookupResult, _xlfn.XLOOKUP(D477, RawDataTable[Account Name and Number], RawDataTable[Investment Amount], "MISSING VALUE"),
       IF(ISNUMBER(_xlpm.lookupResult), _xlpm.lookupResult, "INVALID VALUE")
   )
)</f>
        <v>Empty Row</v>
      </c>
      <c r="G477" s="28" t="str">
        <f t="shared" ca="1" si="7"/>
        <v>Empty Row</v>
      </c>
      <c r="H477" s="29" t="str">
        <f>IF(D477="Empty Row", "Empty Row",
   _xlfn.LET(
       _xlpm.lookupResult, _xlfn.XLOOKUP(D477, RawDataTable[Account Name and Number], RawDataTable[Valuation Amount], "MISSING VALUE"),
       IF(ISNUMBER(_xlpm.lookupResult), _xlpm.lookupResult, "INVALID VALUE")
   )
)</f>
        <v>Empty Row</v>
      </c>
      <c r="I477" s="2" t="str">
        <f>IF(D477="Empty Row", "Empty Row", IF(_xlfn.XLOOKUP(B477, MasterTable[IRA Custodian], MasterTable[Address], "")="", "NO STREET NAME FOUND", _xlfn.XLOOKUP(B477, MasterTable[IRA Custodian], MasterTable[Address], "")))</f>
        <v>Empty Row</v>
      </c>
      <c r="J477" s="2" t="str">
        <f>IF(D477="Empty Row", "Empty Row",
   IF(OR(
       _xlfn.XLOOKUP(B477, MasterTable[IRA Custodian], MasterTable[City], "")="",
       _xlfn.XLOOKUP(B477, MasterTable[IRA Custodian], MasterTable[State], "")="",
       _xlfn.XLOOKUP(B477, MasterTable[IRA Custodian], MasterTable[Zip], "")=""),
       "INCOMPLETE ADDRESS",
       _xlfn.CONCAT(
           _xlfn.XLOOKUP(B477, MasterTable[IRA Custodian], MasterTable[City], ""), ", ",
           _xlfn.XLOOKUP(B477, MasterTable[IRA Custodian], MasterTable[State], ""), " ",
           _xlfn.XLOOKUP(B477, MasterTable[IRA Custodian], MasterTable[Zip], "")
       )
   )
)</f>
        <v>Empty Row</v>
      </c>
    </row>
    <row r="478" spans="1:10" x14ac:dyDescent="0.25">
      <c r="A478" t="str">
        <f>IF(D478="Empty Row", "Empty Row",
   _xlfn.LET(
       _xlpm.lookupResult, _xlfn.XLOOKUP(D478, RawDataTable[Account Name and Number], RawDataTable[Entity], "RAW DATA MISSING"),
       IF(ISBLANK(_xlpm.lookupResult), "RAW DATA MISSING", _xlpm.lookupResult)
   )
)</f>
        <v>Empty Row</v>
      </c>
      <c r="B478" t="str">
        <f>IF(D478="Empty Row", "Empty Row",
   _xlfn.LET(
       _xlpm.rawDataLookup, _xlfn.XLOOKUP(D478,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78" s="56" t="str" cm="1">
        <f t="array" ref="C478">IF(D478="Empty Row", "Empty Row",
   IF(COUNTIF('Name Mapping'!H:AD, D478) &gt; 0,
      INDEX('Name Mapping'!F:F, MATCH(TRUE, MMULT(--('Name Mapping'!H:AD=D478), TRANSPOSE(COLUMN('Name Mapping'!H:AD)^0)) &gt; 0, 0)),
      "")
)</f>
        <v>Empty Row</v>
      </c>
      <c r="D478" t="str">
        <f>IF(RawDataTable[[#This Row],[Account Name and Number]]&lt;&gt;"", RawDataTable[[#This Row],[Account Name and Number]], "Empty Row")</f>
        <v>Empty Row</v>
      </c>
      <c r="E478" s="28" t="str">
        <f>IF(D478="Empty Row", "Empty Row",
   _xlfn.LET(
       _xlpm.lookupResult, _xlfn.XLOOKUP(D478, RawDataTable[Account Name and Number], RawDataTable[Investment Date], "MISSING VALUE"),
       IF(ISNUMBER(_xlpm.lookupResult), _xlpm.lookupResult, "INVALID VALUE")
   )
)</f>
        <v>Empty Row</v>
      </c>
      <c r="F478" s="29" t="str">
        <f>IF(D478="Empty Row", "Empty Row",
   _xlfn.LET(
       _xlpm.lookupResult, _xlfn.XLOOKUP(D478, RawDataTable[Account Name and Number], RawDataTable[Investment Amount], "MISSING VALUE"),
       IF(ISNUMBER(_xlpm.lookupResult), _xlpm.lookupResult, "INVALID VALUE")
   )
)</f>
        <v>Empty Row</v>
      </c>
      <c r="G478" s="28" t="str">
        <f t="shared" ca="1" si="7"/>
        <v>Empty Row</v>
      </c>
      <c r="H478" s="29" t="str">
        <f>IF(D478="Empty Row", "Empty Row",
   _xlfn.LET(
       _xlpm.lookupResult, _xlfn.XLOOKUP(D478, RawDataTable[Account Name and Number], RawDataTable[Valuation Amount], "MISSING VALUE"),
       IF(ISNUMBER(_xlpm.lookupResult), _xlpm.lookupResult, "INVALID VALUE")
   )
)</f>
        <v>Empty Row</v>
      </c>
      <c r="I478" s="2" t="str">
        <f>IF(D478="Empty Row", "Empty Row", IF(_xlfn.XLOOKUP(B478, MasterTable[IRA Custodian], MasterTable[Address], "")="", "NO STREET NAME FOUND", _xlfn.XLOOKUP(B478, MasterTable[IRA Custodian], MasterTable[Address], "")))</f>
        <v>Empty Row</v>
      </c>
      <c r="J478" s="2" t="str">
        <f>IF(D478="Empty Row", "Empty Row",
   IF(OR(
       _xlfn.XLOOKUP(B478, MasterTable[IRA Custodian], MasterTable[City], "")="",
       _xlfn.XLOOKUP(B478, MasterTable[IRA Custodian], MasterTable[State], "")="",
       _xlfn.XLOOKUP(B478, MasterTable[IRA Custodian], MasterTable[Zip], "")=""),
       "INCOMPLETE ADDRESS",
       _xlfn.CONCAT(
           _xlfn.XLOOKUP(B478, MasterTable[IRA Custodian], MasterTable[City], ""), ", ",
           _xlfn.XLOOKUP(B478, MasterTable[IRA Custodian], MasterTable[State], ""), " ",
           _xlfn.XLOOKUP(B478, MasterTable[IRA Custodian], MasterTable[Zip], "")
       )
   )
)</f>
        <v>Empty Row</v>
      </c>
    </row>
    <row r="479" spans="1:10" x14ac:dyDescent="0.25">
      <c r="A479" t="str">
        <f>IF(D479="Empty Row", "Empty Row",
   _xlfn.LET(
       _xlpm.lookupResult, _xlfn.XLOOKUP(D479, RawDataTable[Account Name and Number], RawDataTable[Entity], "RAW DATA MISSING"),
       IF(ISBLANK(_xlpm.lookupResult), "RAW DATA MISSING", _xlpm.lookupResult)
   )
)</f>
        <v>Empty Row</v>
      </c>
      <c r="B479" t="str">
        <f>IF(D479="Empty Row", "Empty Row",
   _xlfn.LET(
       _xlpm.rawDataLookup, _xlfn.XLOOKUP(D479,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79" s="56" t="str" cm="1">
        <f t="array" ref="C479">IF(D479="Empty Row", "Empty Row",
   IF(COUNTIF('Name Mapping'!H:AD, D479) &gt; 0,
      INDEX('Name Mapping'!F:F, MATCH(TRUE, MMULT(--('Name Mapping'!H:AD=D479), TRANSPOSE(COLUMN('Name Mapping'!H:AD)^0)) &gt; 0, 0)),
      "")
)</f>
        <v>Empty Row</v>
      </c>
      <c r="D479" t="str">
        <f>IF(RawDataTable[[#This Row],[Account Name and Number]]&lt;&gt;"", RawDataTable[[#This Row],[Account Name and Number]], "Empty Row")</f>
        <v>Empty Row</v>
      </c>
      <c r="E479" s="28" t="str">
        <f>IF(D479="Empty Row", "Empty Row",
   _xlfn.LET(
       _xlpm.lookupResult, _xlfn.XLOOKUP(D479, RawDataTable[Account Name and Number], RawDataTable[Investment Date], "MISSING VALUE"),
       IF(ISNUMBER(_xlpm.lookupResult), _xlpm.lookupResult, "INVALID VALUE")
   )
)</f>
        <v>Empty Row</v>
      </c>
      <c r="F479" s="29" t="str">
        <f>IF(D479="Empty Row", "Empty Row",
   _xlfn.LET(
       _xlpm.lookupResult, _xlfn.XLOOKUP(D479, RawDataTable[Account Name and Number], RawDataTable[Investment Amount], "MISSING VALUE"),
       IF(ISNUMBER(_xlpm.lookupResult), _xlpm.lookupResult, "INVALID VALUE")
   )
)</f>
        <v>Empty Row</v>
      </c>
      <c r="G479" s="28" t="str">
        <f t="shared" ca="1" si="7"/>
        <v>Empty Row</v>
      </c>
      <c r="H479" s="29" t="str">
        <f>IF(D479="Empty Row", "Empty Row",
   _xlfn.LET(
       _xlpm.lookupResult, _xlfn.XLOOKUP(D479, RawDataTable[Account Name and Number], RawDataTable[Valuation Amount], "MISSING VALUE"),
       IF(ISNUMBER(_xlpm.lookupResult), _xlpm.lookupResult, "INVALID VALUE")
   )
)</f>
        <v>Empty Row</v>
      </c>
      <c r="I479" s="2" t="str">
        <f>IF(D479="Empty Row", "Empty Row", IF(_xlfn.XLOOKUP(B479, MasterTable[IRA Custodian], MasterTable[Address], "")="", "NO STREET NAME FOUND", _xlfn.XLOOKUP(B479, MasterTable[IRA Custodian], MasterTable[Address], "")))</f>
        <v>Empty Row</v>
      </c>
      <c r="J479" s="2" t="str">
        <f>IF(D479="Empty Row", "Empty Row",
   IF(OR(
       _xlfn.XLOOKUP(B479, MasterTable[IRA Custodian], MasterTable[City], "")="",
       _xlfn.XLOOKUP(B479, MasterTable[IRA Custodian], MasterTable[State], "")="",
       _xlfn.XLOOKUP(B479, MasterTable[IRA Custodian], MasterTable[Zip], "")=""),
       "INCOMPLETE ADDRESS",
       _xlfn.CONCAT(
           _xlfn.XLOOKUP(B479, MasterTable[IRA Custodian], MasterTable[City], ""), ", ",
           _xlfn.XLOOKUP(B479, MasterTable[IRA Custodian], MasterTable[State], ""), " ",
           _xlfn.XLOOKUP(B479, MasterTable[IRA Custodian], MasterTable[Zip], "")
       )
   )
)</f>
        <v>Empty Row</v>
      </c>
    </row>
    <row r="480" spans="1:10" x14ac:dyDescent="0.25">
      <c r="A480" t="str">
        <f>IF(D480="Empty Row", "Empty Row",
   _xlfn.LET(
       _xlpm.lookupResult, _xlfn.XLOOKUP(D480, RawDataTable[Account Name and Number], RawDataTable[Entity], "RAW DATA MISSING"),
       IF(ISBLANK(_xlpm.lookupResult), "RAW DATA MISSING", _xlpm.lookupResult)
   )
)</f>
        <v>Empty Row</v>
      </c>
      <c r="B480" t="str">
        <f>IF(D480="Empty Row", "Empty Row",
   _xlfn.LET(
       _xlpm.rawDataLookup, _xlfn.XLOOKUP(D480,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80" s="56" t="str" cm="1">
        <f t="array" ref="C480">IF(D480="Empty Row", "Empty Row",
   IF(COUNTIF('Name Mapping'!H:AD, D480) &gt; 0,
      INDEX('Name Mapping'!F:F, MATCH(TRUE, MMULT(--('Name Mapping'!H:AD=D480), TRANSPOSE(COLUMN('Name Mapping'!H:AD)^0)) &gt; 0, 0)),
      "")
)</f>
        <v>Empty Row</v>
      </c>
      <c r="D480" t="str">
        <f>IF(RawDataTable[[#This Row],[Account Name and Number]]&lt;&gt;"", RawDataTable[[#This Row],[Account Name and Number]], "Empty Row")</f>
        <v>Empty Row</v>
      </c>
      <c r="E480" s="28" t="str">
        <f>IF(D480="Empty Row", "Empty Row",
   _xlfn.LET(
       _xlpm.lookupResult, _xlfn.XLOOKUP(D480, RawDataTable[Account Name and Number], RawDataTable[Investment Date], "MISSING VALUE"),
       IF(ISNUMBER(_xlpm.lookupResult), _xlpm.lookupResult, "INVALID VALUE")
   )
)</f>
        <v>Empty Row</v>
      </c>
      <c r="F480" s="29" t="str">
        <f>IF(D480="Empty Row", "Empty Row",
   _xlfn.LET(
       _xlpm.lookupResult, _xlfn.XLOOKUP(D480, RawDataTable[Account Name and Number], RawDataTable[Investment Amount], "MISSING VALUE"),
       IF(ISNUMBER(_xlpm.lookupResult), _xlpm.lookupResult, "INVALID VALUE")
   )
)</f>
        <v>Empty Row</v>
      </c>
      <c r="G480" s="28" t="str">
        <f t="shared" ca="1" si="7"/>
        <v>Empty Row</v>
      </c>
      <c r="H480" s="29" t="str">
        <f>IF(D480="Empty Row", "Empty Row",
   _xlfn.LET(
       _xlpm.lookupResult, _xlfn.XLOOKUP(D480, RawDataTable[Account Name and Number], RawDataTable[Valuation Amount], "MISSING VALUE"),
       IF(ISNUMBER(_xlpm.lookupResult), _xlpm.lookupResult, "INVALID VALUE")
   )
)</f>
        <v>Empty Row</v>
      </c>
      <c r="I480" s="2" t="str">
        <f>IF(D480="Empty Row", "Empty Row", IF(_xlfn.XLOOKUP(B480, MasterTable[IRA Custodian], MasterTable[Address], "")="", "NO STREET NAME FOUND", _xlfn.XLOOKUP(B480, MasterTable[IRA Custodian], MasterTable[Address], "")))</f>
        <v>Empty Row</v>
      </c>
      <c r="J480" s="2" t="str">
        <f>IF(D480="Empty Row", "Empty Row",
   IF(OR(
       _xlfn.XLOOKUP(B480, MasterTable[IRA Custodian], MasterTable[City], "")="",
       _xlfn.XLOOKUP(B480, MasterTable[IRA Custodian], MasterTable[State], "")="",
       _xlfn.XLOOKUP(B480, MasterTable[IRA Custodian], MasterTable[Zip], "")=""),
       "INCOMPLETE ADDRESS",
       _xlfn.CONCAT(
           _xlfn.XLOOKUP(B480, MasterTable[IRA Custodian], MasterTable[City], ""), ", ",
           _xlfn.XLOOKUP(B480, MasterTable[IRA Custodian], MasterTable[State], ""), " ",
           _xlfn.XLOOKUP(B480, MasterTable[IRA Custodian], MasterTable[Zip], "")
       )
   )
)</f>
        <v>Empty Row</v>
      </c>
    </row>
    <row r="481" spans="1:10" x14ac:dyDescent="0.25">
      <c r="A481" t="str">
        <f>IF(D481="Empty Row", "Empty Row",
   _xlfn.LET(
       _xlpm.lookupResult, _xlfn.XLOOKUP(D481, RawDataTable[Account Name and Number], RawDataTable[Entity], "RAW DATA MISSING"),
       IF(ISBLANK(_xlpm.lookupResult), "RAW DATA MISSING", _xlpm.lookupResult)
   )
)</f>
        <v>Empty Row</v>
      </c>
      <c r="B481" t="str">
        <f>IF(D481="Empty Row", "Empty Row",
   _xlfn.LET(
       _xlpm.rawDataLookup, _xlfn.XLOOKUP(D481,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81" s="56" t="str" cm="1">
        <f t="array" ref="C481">IF(D481="Empty Row", "Empty Row",
   IF(COUNTIF('Name Mapping'!H:AD, D481) &gt; 0,
      INDEX('Name Mapping'!F:F, MATCH(TRUE, MMULT(--('Name Mapping'!H:AD=D481), TRANSPOSE(COLUMN('Name Mapping'!H:AD)^0)) &gt; 0, 0)),
      "")
)</f>
        <v>Empty Row</v>
      </c>
      <c r="D481" t="str">
        <f>IF(RawDataTable[[#This Row],[Account Name and Number]]&lt;&gt;"", RawDataTable[[#This Row],[Account Name and Number]], "Empty Row")</f>
        <v>Empty Row</v>
      </c>
      <c r="E481" s="28" t="str">
        <f>IF(D481="Empty Row", "Empty Row",
   _xlfn.LET(
       _xlpm.lookupResult, _xlfn.XLOOKUP(D481, RawDataTable[Account Name and Number], RawDataTable[Investment Date], "MISSING VALUE"),
       IF(ISNUMBER(_xlpm.lookupResult), _xlpm.lookupResult, "INVALID VALUE")
   )
)</f>
        <v>Empty Row</v>
      </c>
      <c r="F481" s="29" t="str">
        <f>IF(D481="Empty Row", "Empty Row",
   _xlfn.LET(
       _xlpm.lookupResult, _xlfn.XLOOKUP(D481, RawDataTable[Account Name and Number], RawDataTable[Investment Amount], "MISSING VALUE"),
       IF(ISNUMBER(_xlpm.lookupResult), _xlpm.lookupResult, "INVALID VALUE")
   )
)</f>
        <v>Empty Row</v>
      </c>
      <c r="G481" s="28" t="str">
        <f t="shared" ca="1" si="7"/>
        <v>Empty Row</v>
      </c>
      <c r="H481" s="29" t="str">
        <f>IF(D481="Empty Row", "Empty Row",
   _xlfn.LET(
       _xlpm.lookupResult, _xlfn.XLOOKUP(D481, RawDataTable[Account Name and Number], RawDataTable[Valuation Amount], "MISSING VALUE"),
       IF(ISNUMBER(_xlpm.lookupResult), _xlpm.lookupResult, "INVALID VALUE")
   )
)</f>
        <v>Empty Row</v>
      </c>
      <c r="I481" s="2" t="str">
        <f>IF(D481="Empty Row", "Empty Row", IF(_xlfn.XLOOKUP(B481, MasterTable[IRA Custodian], MasterTable[Address], "")="", "NO STREET NAME FOUND", _xlfn.XLOOKUP(B481, MasterTable[IRA Custodian], MasterTable[Address], "")))</f>
        <v>Empty Row</v>
      </c>
      <c r="J481" s="2" t="str">
        <f>IF(D481="Empty Row", "Empty Row",
   IF(OR(
       _xlfn.XLOOKUP(B481, MasterTable[IRA Custodian], MasterTable[City], "")="",
       _xlfn.XLOOKUP(B481, MasterTable[IRA Custodian], MasterTable[State], "")="",
       _xlfn.XLOOKUP(B481, MasterTable[IRA Custodian], MasterTable[Zip], "")=""),
       "INCOMPLETE ADDRESS",
       _xlfn.CONCAT(
           _xlfn.XLOOKUP(B481, MasterTable[IRA Custodian], MasterTable[City], ""), ", ",
           _xlfn.XLOOKUP(B481, MasterTable[IRA Custodian], MasterTable[State], ""), " ",
           _xlfn.XLOOKUP(B481, MasterTable[IRA Custodian], MasterTable[Zip], "")
       )
   )
)</f>
        <v>Empty Row</v>
      </c>
    </row>
    <row r="482" spans="1:10" x14ac:dyDescent="0.25">
      <c r="A482" t="str">
        <f>IF(D482="Empty Row", "Empty Row",
   _xlfn.LET(
       _xlpm.lookupResult, _xlfn.XLOOKUP(D482, RawDataTable[Account Name and Number], RawDataTable[Entity], "RAW DATA MISSING"),
       IF(ISBLANK(_xlpm.lookupResult), "RAW DATA MISSING", _xlpm.lookupResult)
   )
)</f>
        <v>Empty Row</v>
      </c>
      <c r="B482" t="str">
        <f>IF(D482="Empty Row", "Empty Row",
   _xlfn.LET(
       _xlpm.rawDataLookup, _xlfn.XLOOKUP(D482,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82" s="56" t="str" cm="1">
        <f t="array" ref="C482">IF(D482="Empty Row", "Empty Row",
   IF(COUNTIF('Name Mapping'!H:AD, D482) &gt; 0,
      INDEX('Name Mapping'!F:F, MATCH(TRUE, MMULT(--('Name Mapping'!H:AD=D482), TRANSPOSE(COLUMN('Name Mapping'!H:AD)^0)) &gt; 0, 0)),
      "")
)</f>
        <v>Empty Row</v>
      </c>
      <c r="D482" t="str">
        <f>IF(RawDataTable[[#This Row],[Account Name and Number]]&lt;&gt;"", RawDataTable[[#This Row],[Account Name and Number]], "Empty Row")</f>
        <v>Empty Row</v>
      </c>
      <c r="E482" s="28" t="str">
        <f>IF(D482="Empty Row", "Empty Row",
   _xlfn.LET(
       _xlpm.lookupResult, _xlfn.XLOOKUP(D482, RawDataTable[Account Name and Number], RawDataTable[Investment Date], "MISSING VALUE"),
       IF(ISNUMBER(_xlpm.lookupResult), _xlpm.lookupResult, "INVALID VALUE")
   )
)</f>
        <v>Empty Row</v>
      </c>
      <c r="F482" s="29" t="str">
        <f>IF(D482="Empty Row", "Empty Row",
   _xlfn.LET(
       _xlpm.lookupResult, _xlfn.XLOOKUP(D482, RawDataTable[Account Name and Number], RawDataTable[Investment Amount], "MISSING VALUE"),
       IF(ISNUMBER(_xlpm.lookupResult), _xlpm.lookupResult, "INVALID VALUE")
   )
)</f>
        <v>Empty Row</v>
      </c>
      <c r="G482" s="28" t="str">
        <f t="shared" ca="1" si="7"/>
        <v>Empty Row</v>
      </c>
      <c r="H482" s="29" t="str">
        <f>IF(D482="Empty Row", "Empty Row",
   _xlfn.LET(
       _xlpm.lookupResult, _xlfn.XLOOKUP(D482, RawDataTable[Account Name and Number], RawDataTable[Valuation Amount], "MISSING VALUE"),
       IF(ISNUMBER(_xlpm.lookupResult), _xlpm.lookupResult, "INVALID VALUE")
   )
)</f>
        <v>Empty Row</v>
      </c>
      <c r="I482" s="2" t="str">
        <f>IF(D482="Empty Row", "Empty Row", IF(_xlfn.XLOOKUP(B482, MasterTable[IRA Custodian], MasterTable[Address], "")="", "NO STREET NAME FOUND", _xlfn.XLOOKUP(B482, MasterTable[IRA Custodian], MasterTable[Address], "")))</f>
        <v>Empty Row</v>
      </c>
      <c r="J482" s="2" t="str">
        <f>IF(D482="Empty Row", "Empty Row",
   IF(OR(
       _xlfn.XLOOKUP(B482, MasterTable[IRA Custodian], MasterTable[City], "")="",
       _xlfn.XLOOKUP(B482, MasterTable[IRA Custodian], MasterTable[State], "")="",
       _xlfn.XLOOKUP(B482, MasterTable[IRA Custodian], MasterTable[Zip], "")=""),
       "INCOMPLETE ADDRESS",
       _xlfn.CONCAT(
           _xlfn.XLOOKUP(B482, MasterTable[IRA Custodian], MasterTable[City], ""), ", ",
           _xlfn.XLOOKUP(B482, MasterTable[IRA Custodian], MasterTable[State], ""), " ",
           _xlfn.XLOOKUP(B482, MasterTable[IRA Custodian], MasterTable[Zip], "")
       )
   )
)</f>
        <v>Empty Row</v>
      </c>
    </row>
    <row r="483" spans="1:10" x14ac:dyDescent="0.25">
      <c r="A483" t="str">
        <f>IF(D483="Empty Row", "Empty Row",
   _xlfn.LET(
       _xlpm.lookupResult, _xlfn.XLOOKUP(D483, RawDataTable[Account Name and Number], RawDataTable[Entity], "RAW DATA MISSING"),
       IF(ISBLANK(_xlpm.lookupResult), "RAW DATA MISSING", _xlpm.lookupResult)
   )
)</f>
        <v>Empty Row</v>
      </c>
      <c r="B483" t="str">
        <f>IF(D483="Empty Row", "Empty Row",
   _xlfn.LET(
       _xlpm.rawDataLookup, _xlfn.XLOOKUP(D483,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83" s="56" t="str" cm="1">
        <f t="array" ref="C483">IF(D483="Empty Row", "Empty Row",
   IF(COUNTIF('Name Mapping'!H:AD, D483) &gt; 0,
      INDEX('Name Mapping'!F:F, MATCH(TRUE, MMULT(--('Name Mapping'!H:AD=D483), TRANSPOSE(COLUMN('Name Mapping'!H:AD)^0)) &gt; 0, 0)),
      "")
)</f>
        <v>Empty Row</v>
      </c>
      <c r="D483" t="str">
        <f>IF(RawDataTable[[#This Row],[Account Name and Number]]&lt;&gt;"", RawDataTable[[#This Row],[Account Name and Number]], "Empty Row")</f>
        <v>Empty Row</v>
      </c>
      <c r="E483" s="28" t="str">
        <f>IF(D483="Empty Row", "Empty Row",
   _xlfn.LET(
       _xlpm.lookupResult, _xlfn.XLOOKUP(D483, RawDataTable[Account Name and Number], RawDataTable[Investment Date], "MISSING VALUE"),
       IF(ISNUMBER(_xlpm.lookupResult), _xlpm.lookupResult, "INVALID VALUE")
   )
)</f>
        <v>Empty Row</v>
      </c>
      <c r="F483" s="29" t="str">
        <f>IF(D483="Empty Row", "Empty Row",
   _xlfn.LET(
       _xlpm.lookupResult, _xlfn.XLOOKUP(D483, RawDataTable[Account Name and Number], RawDataTable[Investment Amount], "MISSING VALUE"),
       IF(ISNUMBER(_xlpm.lookupResult), _xlpm.lookupResult, "INVALID VALUE")
   )
)</f>
        <v>Empty Row</v>
      </c>
      <c r="G483" s="28" t="str">
        <f t="shared" ca="1" si="7"/>
        <v>Empty Row</v>
      </c>
      <c r="H483" s="29" t="str">
        <f>IF(D483="Empty Row", "Empty Row",
   _xlfn.LET(
       _xlpm.lookupResult, _xlfn.XLOOKUP(D483, RawDataTable[Account Name and Number], RawDataTable[Valuation Amount], "MISSING VALUE"),
       IF(ISNUMBER(_xlpm.lookupResult), _xlpm.lookupResult, "INVALID VALUE")
   )
)</f>
        <v>Empty Row</v>
      </c>
      <c r="I483" s="2" t="str">
        <f>IF(D483="Empty Row", "Empty Row", IF(_xlfn.XLOOKUP(B483, MasterTable[IRA Custodian], MasterTable[Address], "")="", "NO STREET NAME FOUND", _xlfn.XLOOKUP(B483, MasterTable[IRA Custodian], MasterTable[Address], "")))</f>
        <v>Empty Row</v>
      </c>
      <c r="J483" s="2" t="str">
        <f>IF(D483="Empty Row", "Empty Row",
   IF(OR(
       _xlfn.XLOOKUP(B483, MasterTable[IRA Custodian], MasterTable[City], "")="",
       _xlfn.XLOOKUP(B483, MasterTable[IRA Custodian], MasterTable[State], "")="",
       _xlfn.XLOOKUP(B483, MasterTable[IRA Custodian], MasterTable[Zip], "")=""),
       "INCOMPLETE ADDRESS",
       _xlfn.CONCAT(
           _xlfn.XLOOKUP(B483, MasterTable[IRA Custodian], MasterTable[City], ""), ", ",
           _xlfn.XLOOKUP(B483, MasterTable[IRA Custodian], MasterTable[State], ""), " ",
           _xlfn.XLOOKUP(B483, MasterTable[IRA Custodian], MasterTable[Zip], "")
       )
   )
)</f>
        <v>Empty Row</v>
      </c>
    </row>
    <row r="484" spans="1:10" x14ac:dyDescent="0.25">
      <c r="A484" t="str">
        <f>IF(D484="Empty Row", "Empty Row",
   _xlfn.LET(
       _xlpm.lookupResult, _xlfn.XLOOKUP(D484, RawDataTable[Account Name and Number], RawDataTable[Entity], "RAW DATA MISSING"),
       IF(ISBLANK(_xlpm.lookupResult), "RAW DATA MISSING", _xlpm.lookupResult)
   )
)</f>
        <v>Empty Row</v>
      </c>
      <c r="B484" t="str">
        <f>IF(D484="Empty Row", "Empty Row",
   _xlfn.LET(
       _xlpm.rawDataLookup, _xlfn.XLOOKUP(D484,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84" s="56" t="str" cm="1">
        <f t="array" ref="C484">IF(D484="Empty Row", "Empty Row",
   IF(COUNTIF('Name Mapping'!H:AD, D484) &gt; 0,
      INDEX('Name Mapping'!F:F, MATCH(TRUE, MMULT(--('Name Mapping'!H:AD=D484), TRANSPOSE(COLUMN('Name Mapping'!H:AD)^0)) &gt; 0, 0)),
      "")
)</f>
        <v>Empty Row</v>
      </c>
      <c r="D484" t="str">
        <f>IF(RawDataTable[[#This Row],[Account Name and Number]]&lt;&gt;"", RawDataTable[[#This Row],[Account Name and Number]], "Empty Row")</f>
        <v>Empty Row</v>
      </c>
      <c r="E484" s="28" t="str">
        <f>IF(D484="Empty Row", "Empty Row",
   _xlfn.LET(
       _xlpm.lookupResult, _xlfn.XLOOKUP(D484, RawDataTable[Account Name and Number], RawDataTable[Investment Date], "MISSING VALUE"),
       IF(ISNUMBER(_xlpm.lookupResult), _xlpm.lookupResult, "INVALID VALUE")
   )
)</f>
        <v>Empty Row</v>
      </c>
      <c r="F484" s="29" t="str">
        <f>IF(D484="Empty Row", "Empty Row",
   _xlfn.LET(
       _xlpm.lookupResult, _xlfn.XLOOKUP(D484, RawDataTable[Account Name and Number], RawDataTable[Investment Amount], "MISSING VALUE"),
       IF(ISNUMBER(_xlpm.lookupResult), _xlpm.lookupResult, "INVALID VALUE")
   )
)</f>
        <v>Empty Row</v>
      </c>
      <c r="G484" s="28" t="str">
        <f t="shared" ca="1" si="7"/>
        <v>Empty Row</v>
      </c>
      <c r="H484" s="29" t="str">
        <f>IF(D484="Empty Row", "Empty Row",
   _xlfn.LET(
       _xlpm.lookupResult, _xlfn.XLOOKUP(D484, RawDataTable[Account Name and Number], RawDataTable[Valuation Amount], "MISSING VALUE"),
       IF(ISNUMBER(_xlpm.lookupResult), _xlpm.lookupResult, "INVALID VALUE")
   )
)</f>
        <v>Empty Row</v>
      </c>
      <c r="I484" s="2" t="str">
        <f>IF(D484="Empty Row", "Empty Row", IF(_xlfn.XLOOKUP(B484, MasterTable[IRA Custodian], MasterTable[Address], "")="", "NO STREET NAME FOUND", _xlfn.XLOOKUP(B484, MasterTable[IRA Custodian], MasterTable[Address], "")))</f>
        <v>Empty Row</v>
      </c>
      <c r="J484" s="2" t="str">
        <f>IF(D484="Empty Row", "Empty Row",
   IF(OR(
       _xlfn.XLOOKUP(B484, MasterTable[IRA Custodian], MasterTable[City], "")="",
       _xlfn.XLOOKUP(B484, MasterTable[IRA Custodian], MasterTable[State], "")="",
       _xlfn.XLOOKUP(B484, MasterTable[IRA Custodian], MasterTable[Zip], "")=""),
       "INCOMPLETE ADDRESS",
       _xlfn.CONCAT(
           _xlfn.XLOOKUP(B484, MasterTable[IRA Custodian], MasterTable[City], ""), ", ",
           _xlfn.XLOOKUP(B484, MasterTable[IRA Custodian], MasterTable[State], ""), " ",
           _xlfn.XLOOKUP(B484, MasterTable[IRA Custodian], MasterTable[Zip], "")
       )
   )
)</f>
        <v>Empty Row</v>
      </c>
    </row>
    <row r="485" spans="1:10" x14ac:dyDescent="0.25">
      <c r="A485" t="str">
        <f>IF(D485="Empty Row", "Empty Row",
   _xlfn.LET(
       _xlpm.lookupResult, _xlfn.XLOOKUP(D485, RawDataTable[Account Name and Number], RawDataTable[Entity], "RAW DATA MISSING"),
       IF(ISBLANK(_xlpm.lookupResult), "RAW DATA MISSING", _xlpm.lookupResult)
   )
)</f>
        <v>Empty Row</v>
      </c>
      <c r="B485" t="str">
        <f>IF(D485="Empty Row", "Empty Row",
   _xlfn.LET(
       _xlpm.rawDataLookup, _xlfn.XLOOKUP(D485,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85" s="56" t="str" cm="1">
        <f t="array" ref="C485">IF(D485="Empty Row", "Empty Row",
   IF(COUNTIF('Name Mapping'!H:AD, D485) &gt; 0,
      INDEX('Name Mapping'!F:F, MATCH(TRUE, MMULT(--('Name Mapping'!H:AD=D485), TRANSPOSE(COLUMN('Name Mapping'!H:AD)^0)) &gt; 0, 0)),
      "")
)</f>
        <v>Empty Row</v>
      </c>
      <c r="D485" t="str">
        <f>IF(RawDataTable[[#This Row],[Account Name and Number]]&lt;&gt;"", RawDataTable[[#This Row],[Account Name and Number]], "Empty Row")</f>
        <v>Empty Row</v>
      </c>
      <c r="E485" s="28" t="str">
        <f>IF(D485="Empty Row", "Empty Row",
   _xlfn.LET(
       _xlpm.lookupResult, _xlfn.XLOOKUP(D485, RawDataTable[Account Name and Number], RawDataTable[Investment Date], "MISSING VALUE"),
       IF(ISNUMBER(_xlpm.lookupResult), _xlpm.lookupResult, "INVALID VALUE")
   )
)</f>
        <v>Empty Row</v>
      </c>
      <c r="F485" s="29" t="str">
        <f>IF(D485="Empty Row", "Empty Row",
   _xlfn.LET(
       _xlpm.lookupResult, _xlfn.XLOOKUP(D485, RawDataTable[Account Name and Number], RawDataTable[Investment Amount], "MISSING VALUE"),
       IF(ISNUMBER(_xlpm.lookupResult), _xlpm.lookupResult, "INVALID VALUE")
   )
)</f>
        <v>Empty Row</v>
      </c>
      <c r="G485" s="28" t="str">
        <f t="shared" ca="1" si="7"/>
        <v>Empty Row</v>
      </c>
      <c r="H485" s="29" t="str">
        <f>IF(D485="Empty Row", "Empty Row",
   _xlfn.LET(
       _xlpm.lookupResult, _xlfn.XLOOKUP(D485, RawDataTable[Account Name and Number], RawDataTable[Valuation Amount], "MISSING VALUE"),
       IF(ISNUMBER(_xlpm.lookupResult), _xlpm.lookupResult, "INVALID VALUE")
   )
)</f>
        <v>Empty Row</v>
      </c>
      <c r="I485" s="2" t="str">
        <f>IF(D485="Empty Row", "Empty Row", IF(_xlfn.XLOOKUP(B485, MasterTable[IRA Custodian], MasterTable[Address], "")="", "NO STREET NAME FOUND", _xlfn.XLOOKUP(B485, MasterTable[IRA Custodian], MasterTable[Address], "")))</f>
        <v>Empty Row</v>
      </c>
      <c r="J485" s="2" t="str">
        <f>IF(D485="Empty Row", "Empty Row",
   IF(OR(
       _xlfn.XLOOKUP(B485, MasterTable[IRA Custodian], MasterTable[City], "")="",
       _xlfn.XLOOKUP(B485, MasterTable[IRA Custodian], MasterTable[State], "")="",
       _xlfn.XLOOKUP(B485, MasterTable[IRA Custodian], MasterTable[Zip], "")=""),
       "INCOMPLETE ADDRESS",
       _xlfn.CONCAT(
           _xlfn.XLOOKUP(B485, MasterTable[IRA Custodian], MasterTable[City], ""), ", ",
           _xlfn.XLOOKUP(B485, MasterTable[IRA Custodian], MasterTable[State], ""), " ",
           _xlfn.XLOOKUP(B485, MasterTable[IRA Custodian], MasterTable[Zip], "")
       )
   )
)</f>
        <v>Empty Row</v>
      </c>
    </row>
    <row r="486" spans="1:10" x14ac:dyDescent="0.25">
      <c r="A486" t="str">
        <f>IF(D486="Empty Row", "Empty Row",
   _xlfn.LET(
       _xlpm.lookupResult, _xlfn.XLOOKUP(D486, RawDataTable[Account Name and Number], RawDataTable[Entity], "RAW DATA MISSING"),
       IF(ISBLANK(_xlpm.lookupResult), "RAW DATA MISSING", _xlpm.lookupResult)
   )
)</f>
        <v>Empty Row</v>
      </c>
      <c r="B486" t="str">
        <f>IF(D486="Empty Row", "Empty Row",
   _xlfn.LET(
       _xlpm.rawDataLookup, _xlfn.XLOOKUP(D486,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86" s="56" t="str" cm="1">
        <f t="array" ref="C486">IF(D486="Empty Row", "Empty Row",
   IF(COUNTIF('Name Mapping'!H:AD, D486) &gt; 0,
      INDEX('Name Mapping'!F:F, MATCH(TRUE, MMULT(--('Name Mapping'!H:AD=D486), TRANSPOSE(COLUMN('Name Mapping'!H:AD)^0)) &gt; 0, 0)),
      "")
)</f>
        <v>Empty Row</v>
      </c>
      <c r="D486" t="str">
        <f>IF(RawDataTable[[#This Row],[Account Name and Number]]&lt;&gt;"", RawDataTable[[#This Row],[Account Name and Number]], "Empty Row")</f>
        <v>Empty Row</v>
      </c>
      <c r="E486" s="28" t="str">
        <f>IF(D486="Empty Row", "Empty Row",
   _xlfn.LET(
       _xlpm.lookupResult, _xlfn.XLOOKUP(D486, RawDataTable[Account Name and Number], RawDataTable[Investment Date], "MISSING VALUE"),
       IF(ISNUMBER(_xlpm.lookupResult), _xlpm.lookupResult, "INVALID VALUE")
   )
)</f>
        <v>Empty Row</v>
      </c>
      <c r="F486" s="29" t="str">
        <f>IF(D486="Empty Row", "Empty Row",
   _xlfn.LET(
       _xlpm.lookupResult, _xlfn.XLOOKUP(D486, RawDataTable[Account Name and Number], RawDataTable[Investment Amount], "MISSING VALUE"),
       IF(ISNUMBER(_xlpm.lookupResult), _xlpm.lookupResult, "INVALID VALUE")
   )
)</f>
        <v>Empty Row</v>
      </c>
      <c r="G486" s="28" t="str">
        <f t="shared" ca="1" si="7"/>
        <v>Empty Row</v>
      </c>
      <c r="H486" s="29" t="str">
        <f>IF(D486="Empty Row", "Empty Row",
   _xlfn.LET(
       _xlpm.lookupResult, _xlfn.XLOOKUP(D486, RawDataTable[Account Name and Number], RawDataTable[Valuation Amount], "MISSING VALUE"),
       IF(ISNUMBER(_xlpm.lookupResult), _xlpm.lookupResult, "INVALID VALUE")
   )
)</f>
        <v>Empty Row</v>
      </c>
      <c r="I486" s="2" t="str">
        <f>IF(D486="Empty Row", "Empty Row", IF(_xlfn.XLOOKUP(B486, MasterTable[IRA Custodian], MasterTable[Address], "")="", "NO STREET NAME FOUND", _xlfn.XLOOKUP(B486, MasterTable[IRA Custodian], MasterTable[Address], "")))</f>
        <v>Empty Row</v>
      </c>
      <c r="J486" s="2" t="str">
        <f>IF(D486="Empty Row", "Empty Row",
   IF(OR(
       _xlfn.XLOOKUP(B486, MasterTable[IRA Custodian], MasterTable[City], "")="",
       _xlfn.XLOOKUP(B486, MasterTable[IRA Custodian], MasterTable[State], "")="",
       _xlfn.XLOOKUP(B486, MasterTable[IRA Custodian], MasterTable[Zip], "")=""),
       "INCOMPLETE ADDRESS",
       _xlfn.CONCAT(
           _xlfn.XLOOKUP(B486, MasterTable[IRA Custodian], MasterTable[City], ""), ", ",
           _xlfn.XLOOKUP(B486, MasterTable[IRA Custodian], MasterTable[State], ""), " ",
           _xlfn.XLOOKUP(B486, MasterTable[IRA Custodian], MasterTable[Zip], "")
       )
   )
)</f>
        <v>Empty Row</v>
      </c>
    </row>
    <row r="487" spans="1:10" x14ac:dyDescent="0.25">
      <c r="A487" t="str">
        <f>IF(D487="Empty Row", "Empty Row",
   _xlfn.LET(
       _xlpm.lookupResult, _xlfn.XLOOKUP(D487, RawDataTable[Account Name and Number], RawDataTable[Entity], "RAW DATA MISSING"),
       IF(ISBLANK(_xlpm.lookupResult), "RAW DATA MISSING", _xlpm.lookupResult)
   )
)</f>
        <v>Empty Row</v>
      </c>
      <c r="B487" t="str">
        <f>IF(D487="Empty Row", "Empty Row",
   _xlfn.LET(
       _xlpm.rawDataLookup, _xlfn.XLOOKUP(D487,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87" s="56" t="str" cm="1">
        <f t="array" ref="C487">IF(D487="Empty Row", "Empty Row",
   IF(COUNTIF('Name Mapping'!H:AD, D487) &gt; 0,
      INDEX('Name Mapping'!F:F, MATCH(TRUE, MMULT(--('Name Mapping'!H:AD=D487), TRANSPOSE(COLUMN('Name Mapping'!H:AD)^0)) &gt; 0, 0)),
      "")
)</f>
        <v>Empty Row</v>
      </c>
      <c r="D487" t="str">
        <f>IF(RawDataTable[[#This Row],[Account Name and Number]]&lt;&gt;"", RawDataTable[[#This Row],[Account Name and Number]], "Empty Row")</f>
        <v>Empty Row</v>
      </c>
      <c r="E487" s="28" t="str">
        <f>IF(D487="Empty Row", "Empty Row",
   _xlfn.LET(
       _xlpm.lookupResult, _xlfn.XLOOKUP(D487, RawDataTable[Account Name and Number], RawDataTable[Investment Date], "MISSING VALUE"),
       IF(ISNUMBER(_xlpm.lookupResult), _xlpm.lookupResult, "INVALID VALUE")
   )
)</f>
        <v>Empty Row</v>
      </c>
      <c r="F487" s="29" t="str">
        <f>IF(D487="Empty Row", "Empty Row",
   _xlfn.LET(
       _xlpm.lookupResult, _xlfn.XLOOKUP(D487, RawDataTable[Account Name and Number], RawDataTable[Investment Amount], "MISSING VALUE"),
       IF(ISNUMBER(_xlpm.lookupResult), _xlpm.lookupResult, "INVALID VALUE")
   )
)</f>
        <v>Empty Row</v>
      </c>
      <c r="G487" s="28" t="str">
        <f t="shared" ca="1" si="7"/>
        <v>Empty Row</v>
      </c>
      <c r="H487" s="29" t="str">
        <f>IF(D487="Empty Row", "Empty Row",
   _xlfn.LET(
       _xlpm.lookupResult, _xlfn.XLOOKUP(D487, RawDataTable[Account Name and Number], RawDataTable[Valuation Amount], "MISSING VALUE"),
       IF(ISNUMBER(_xlpm.lookupResult), _xlpm.lookupResult, "INVALID VALUE")
   )
)</f>
        <v>Empty Row</v>
      </c>
      <c r="I487" s="2" t="str">
        <f>IF(D487="Empty Row", "Empty Row", IF(_xlfn.XLOOKUP(B487, MasterTable[IRA Custodian], MasterTable[Address], "")="", "NO STREET NAME FOUND", _xlfn.XLOOKUP(B487, MasterTable[IRA Custodian], MasterTable[Address], "")))</f>
        <v>Empty Row</v>
      </c>
      <c r="J487" s="2" t="str">
        <f>IF(D487="Empty Row", "Empty Row",
   IF(OR(
       _xlfn.XLOOKUP(B487, MasterTable[IRA Custodian], MasterTable[City], "")="",
       _xlfn.XLOOKUP(B487, MasterTable[IRA Custodian], MasterTable[State], "")="",
       _xlfn.XLOOKUP(B487, MasterTable[IRA Custodian], MasterTable[Zip], "")=""),
       "INCOMPLETE ADDRESS",
       _xlfn.CONCAT(
           _xlfn.XLOOKUP(B487, MasterTable[IRA Custodian], MasterTable[City], ""), ", ",
           _xlfn.XLOOKUP(B487, MasterTable[IRA Custodian], MasterTable[State], ""), " ",
           _xlfn.XLOOKUP(B487, MasterTable[IRA Custodian], MasterTable[Zip], "")
       )
   )
)</f>
        <v>Empty Row</v>
      </c>
    </row>
    <row r="488" spans="1:10" x14ac:dyDescent="0.25">
      <c r="A488" t="str">
        <f>IF(D488="Empty Row", "Empty Row",
   _xlfn.LET(
       _xlpm.lookupResult, _xlfn.XLOOKUP(D488, RawDataTable[Account Name and Number], RawDataTable[Entity], "RAW DATA MISSING"),
       IF(ISBLANK(_xlpm.lookupResult), "RAW DATA MISSING", _xlpm.lookupResult)
   )
)</f>
        <v>Empty Row</v>
      </c>
      <c r="B488" t="str">
        <f>IF(D488="Empty Row", "Empty Row",
   _xlfn.LET(
       _xlpm.rawDataLookup, _xlfn.XLOOKUP(D488,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88" s="56" t="str" cm="1">
        <f t="array" ref="C488">IF(D488="Empty Row", "Empty Row",
   IF(COUNTIF('Name Mapping'!H:AD, D488) &gt; 0,
      INDEX('Name Mapping'!F:F, MATCH(TRUE, MMULT(--('Name Mapping'!H:AD=D488), TRANSPOSE(COLUMN('Name Mapping'!H:AD)^0)) &gt; 0, 0)),
      "")
)</f>
        <v>Empty Row</v>
      </c>
      <c r="D488" t="str">
        <f>IF(RawDataTable[[#This Row],[Account Name and Number]]&lt;&gt;"", RawDataTable[[#This Row],[Account Name and Number]], "Empty Row")</f>
        <v>Empty Row</v>
      </c>
      <c r="E488" s="28" t="str">
        <f>IF(D488="Empty Row", "Empty Row",
   _xlfn.LET(
       _xlpm.lookupResult, _xlfn.XLOOKUP(D488, RawDataTable[Account Name and Number], RawDataTable[Investment Date], "MISSING VALUE"),
       IF(ISNUMBER(_xlpm.lookupResult), _xlpm.lookupResult, "INVALID VALUE")
   )
)</f>
        <v>Empty Row</v>
      </c>
      <c r="F488" s="29" t="str">
        <f>IF(D488="Empty Row", "Empty Row",
   _xlfn.LET(
       _xlpm.lookupResult, _xlfn.XLOOKUP(D488, RawDataTable[Account Name and Number], RawDataTable[Investment Amount], "MISSING VALUE"),
       IF(ISNUMBER(_xlpm.lookupResult), _xlpm.lookupResult, "INVALID VALUE")
   )
)</f>
        <v>Empty Row</v>
      </c>
      <c r="G488" s="28" t="str">
        <f t="shared" ca="1" si="7"/>
        <v>Empty Row</v>
      </c>
      <c r="H488" s="29" t="str">
        <f>IF(D488="Empty Row", "Empty Row",
   _xlfn.LET(
       _xlpm.lookupResult, _xlfn.XLOOKUP(D488, RawDataTable[Account Name and Number], RawDataTable[Valuation Amount], "MISSING VALUE"),
       IF(ISNUMBER(_xlpm.lookupResult), _xlpm.lookupResult, "INVALID VALUE")
   )
)</f>
        <v>Empty Row</v>
      </c>
      <c r="I488" s="2" t="str">
        <f>IF(D488="Empty Row", "Empty Row", IF(_xlfn.XLOOKUP(B488, MasterTable[IRA Custodian], MasterTable[Address], "")="", "NO STREET NAME FOUND", _xlfn.XLOOKUP(B488, MasterTable[IRA Custodian], MasterTable[Address], "")))</f>
        <v>Empty Row</v>
      </c>
      <c r="J488" s="2" t="str">
        <f>IF(D488="Empty Row", "Empty Row",
   IF(OR(
       _xlfn.XLOOKUP(B488, MasterTable[IRA Custodian], MasterTable[City], "")="",
       _xlfn.XLOOKUP(B488, MasterTable[IRA Custodian], MasterTable[State], "")="",
       _xlfn.XLOOKUP(B488, MasterTable[IRA Custodian], MasterTable[Zip], "")=""),
       "INCOMPLETE ADDRESS",
       _xlfn.CONCAT(
           _xlfn.XLOOKUP(B488, MasterTable[IRA Custodian], MasterTable[City], ""), ", ",
           _xlfn.XLOOKUP(B488, MasterTable[IRA Custodian], MasterTable[State], ""), " ",
           _xlfn.XLOOKUP(B488, MasterTable[IRA Custodian], MasterTable[Zip], "")
       )
   )
)</f>
        <v>Empty Row</v>
      </c>
    </row>
    <row r="489" spans="1:10" x14ac:dyDescent="0.25">
      <c r="A489" t="str">
        <f>IF(D489="Empty Row", "Empty Row",
   _xlfn.LET(
       _xlpm.lookupResult, _xlfn.XLOOKUP(D489, RawDataTable[Account Name and Number], RawDataTable[Entity], "RAW DATA MISSING"),
       IF(ISBLANK(_xlpm.lookupResult), "RAW DATA MISSING", _xlpm.lookupResult)
   )
)</f>
        <v>Empty Row</v>
      </c>
      <c r="B489" t="str">
        <f>IF(D489="Empty Row", "Empty Row",
   _xlfn.LET(
       _xlpm.rawDataLookup, _xlfn.XLOOKUP(D489,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89" s="56" t="str" cm="1">
        <f t="array" ref="C489">IF(D489="Empty Row", "Empty Row",
   IF(COUNTIF('Name Mapping'!H:AD, D489) &gt; 0,
      INDEX('Name Mapping'!F:F, MATCH(TRUE, MMULT(--('Name Mapping'!H:AD=D489), TRANSPOSE(COLUMN('Name Mapping'!H:AD)^0)) &gt; 0, 0)),
      "")
)</f>
        <v>Empty Row</v>
      </c>
      <c r="D489" t="str">
        <f>IF(RawDataTable[[#This Row],[Account Name and Number]]&lt;&gt;"", RawDataTable[[#This Row],[Account Name and Number]], "Empty Row")</f>
        <v>Empty Row</v>
      </c>
      <c r="E489" s="28" t="str">
        <f>IF(D489="Empty Row", "Empty Row",
   _xlfn.LET(
       _xlpm.lookupResult, _xlfn.XLOOKUP(D489, RawDataTable[Account Name and Number], RawDataTable[Investment Date], "MISSING VALUE"),
       IF(ISNUMBER(_xlpm.lookupResult), _xlpm.lookupResult, "INVALID VALUE")
   )
)</f>
        <v>Empty Row</v>
      </c>
      <c r="F489" s="29" t="str">
        <f>IF(D489="Empty Row", "Empty Row",
   _xlfn.LET(
       _xlpm.lookupResult, _xlfn.XLOOKUP(D489, RawDataTable[Account Name and Number], RawDataTable[Investment Amount], "MISSING VALUE"),
       IF(ISNUMBER(_xlpm.lookupResult), _xlpm.lookupResult, "INVALID VALUE")
   )
)</f>
        <v>Empty Row</v>
      </c>
      <c r="G489" s="28" t="str">
        <f t="shared" ca="1" si="7"/>
        <v>Empty Row</v>
      </c>
      <c r="H489" s="29" t="str">
        <f>IF(D489="Empty Row", "Empty Row",
   _xlfn.LET(
       _xlpm.lookupResult, _xlfn.XLOOKUP(D489, RawDataTable[Account Name and Number], RawDataTable[Valuation Amount], "MISSING VALUE"),
       IF(ISNUMBER(_xlpm.lookupResult), _xlpm.lookupResult, "INVALID VALUE")
   )
)</f>
        <v>Empty Row</v>
      </c>
      <c r="I489" s="2" t="str">
        <f>IF(D489="Empty Row", "Empty Row", IF(_xlfn.XLOOKUP(B489, MasterTable[IRA Custodian], MasterTable[Address], "")="", "NO STREET NAME FOUND", _xlfn.XLOOKUP(B489, MasterTable[IRA Custodian], MasterTable[Address], "")))</f>
        <v>Empty Row</v>
      </c>
      <c r="J489" s="2" t="str">
        <f>IF(D489="Empty Row", "Empty Row",
   IF(OR(
       _xlfn.XLOOKUP(B489, MasterTable[IRA Custodian], MasterTable[City], "")="",
       _xlfn.XLOOKUP(B489, MasterTable[IRA Custodian], MasterTable[State], "")="",
       _xlfn.XLOOKUP(B489, MasterTable[IRA Custodian], MasterTable[Zip], "")=""),
       "INCOMPLETE ADDRESS",
       _xlfn.CONCAT(
           _xlfn.XLOOKUP(B489, MasterTable[IRA Custodian], MasterTable[City], ""), ", ",
           _xlfn.XLOOKUP(B489, MasterTable[IRA Custodian], MasterTable[State], ""), " ",
           _xlfn.XLOOKUP(B489, MasterTable[IRA Custodian], MasterTable[Zip], "")
       )
   )
)</f>
        <v>Empty Row</v>
      </c>
    </row>
    <row r="490" spans="1:10" x14ac:dyDescent="0.25">
      <c r="A490" t="str">
        <f>IF(D490="Empty Row", "Empty Row",
   _xlfn.LET(
       _xlpm.lookupResult, _xlfn.XLOOKUP(D490, RawDataTable[Account Name and Number], RawDataTable[Entity], "RAW DATA MISSING"),
       IF(ISBLANK(_xlpm.lookupResult), "RAW DATA MISSING", _xlpm.lookupResult)
   )
)</f>
        <v>Empty Row</v>
      </c>
      <c r="B490" t="str">
        <f>IF(D490="Empty Row", "Empty Row",
   _xlfn.LET(
       _xlpm.rawDataLookup, _xlfn.XLOOKUP(D490,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90" s="56" t="str" cm="1">
        <f t="array" ref="C490">IF(D490="Empty Row", "Empty Row",
   IF(COUNTIF('Name Mapping'!H:AD, D490) &gt; 0,
      INDEX('Name Mapping'!F:F, MATCH(TRUE, MMULT(--('Name Mapping'!H:AD=D490), TRANSPOSE(COLUMN('Name Mapping'!H:AD)^0)) &gt; 0, 0)),
      "")
)</f>
        <v>Empty Row</v>
      </c>
      <c r="D490" t="str">
        <f>IF(RawDataTable[[#This Row],[Account Name and Number]]&lt;&gt;"", RawDataTable[[#This Row],[Account Name and Number]], "Empty Row")</f>
        <v>Empty Row</v>
      </c>
      <c r="E490" s="28" t="str">
        <f>IF(D490="Empty Row", "Empty Row",
   _xlfn.LET(
       _xlpm.lookupResult, _xlfn.XLOOKUP(D490, RawDataTable[Account Name and Number], RawDataTable[Investment Date], "MISSING VALUE"),
       IF(ISNUMBER(_xlpm.lookupResult), _xlpm.lookupResult, "INVALID VALUE")
   )
)</f>
        <v>Empty Row</v>
      </c>
      <c r="F490" s="29" t="str">
        <f>IF(D490="Empty Row", "Empty Row",
   _xlfn.LET(
       _xlpm.lookupResult, _xlfn.XLOOKUP(D490, RawDataTable[Account Name and Number], RawDataTable[Investment Amount], "MISSING VALUE"),
       IF(ISNUMBER(_xlpm.lookupResult), _xlpm.lookupResult, "INVALID VALUE")
   )
)</f>
        <v>Empty Row</v>
      </c>
      <c r="G490" s="28" t="str">
        <f t="shared" ca="1" si="7"/>
        <v>Empty Row</v>
      </c>
      <c r="H490" s="29" t="str">
        <f>IF(D490="Empty Row", "Empty Row",
   _xlfn.LET(
       _xlpm.lookupResult, _xlfn.XLOOKUP(D490, RawDataTable[Account Name and Number], RawDataTable[Valuation Amount], "MISSING VALUE"),
       IF(ISNUMBER(_xlpm.lookupResult), _xlpm.lookupResult, "INVALID VALUE")
   )
)</f>
        <v>Empty Row</v>
      </c>
      <c r="I490" s="2" t="str">
        <f>IF(D490="Empty Row", "Empty Row", IF(_xlfn.XLOOKUP(B490, MasterTable[IRA Custodian], MasterTable[Address], "")="", "NO STREET NAME FOUND", _xlfn.XLOOKUP(B490, MasterTable[IRA Custodian], MasterTable[Address], "")))</f>
        <v>Empty Row</v>
      </c>
      <c r="J490" s="2" t="str">
        <f>IF(D490="Empty Row", "Empty Row",
   IF(OR(
       _xlfn.XLOOKUP(B490, MasterTable[IRA Custodian], MasterTable[City], "")="",
       _xlfn.XLOOKUP(B490, MasterTable[IRA Custodian], MasterTable[State], "")="",
       _xlfn.XLOOKUP(B490, MasterTable[IRA Custodian], MasterTable[Zip], "")=""),
       "INCOMPLETE ADDRESS",
       _xlfn.CONCAT(
           _xlfn.XLOOKUP(B490, MasterTable[IRA Custodian], MasterTable[City], ""), ", ",
           _xlfn.XLOOKUP(B490, MasterTable[IRA Custodian], MasterTable[State], ""), " ",
           _xlfn.XLOOKUP(B490, MasterTable[IRA Custodian], MasterTable[Zip], "")
       )
   )
)</f>
        <v>Empty Row</v>
      </c>
    </row>
    <row r="491" spans="1:10" x14ac:dyDescent="0.25">
      <c r="A491" t="str">
        <f>IF(D491="Empty Row", "Empty Row",
   _xlfn.LET(
       _xlpm.lookupResult, _xlfn.XLOOKUP(D491, RawDataTable[Account Name and Number], RawDataTable[Entity], "RAW DATA MISSING"),
       IF(ISBLANK(_xlpm.lookupResult), "RAW DATA MISSING", _xlpm.lookupResult)
   )
)</f>
        <v>Empty Row</v>
      </c>
      <c r="B491" t="str">
        <f>IF(D491="Empty Row", "Empty Row",
   _xlfn.LET(
       _xlpm.rawDataLookup, _xlfn.XLOOKUP(D491,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91" s="56" t="str" cm="1">
        <f t="array" ref="C491">IF(D491="Empty Row", "Empty Row",
   IF(COUNTIF('Name Mapping'!H:AD, D491) &gt; 0,
      INDEX('Name Mapping'!F:F, MATCH(TRUE, MMULT(--('Name Mapping'!H:AD=D491), TRANSPOSE(COLUMN('Name Mapping'!H:AD)^0)) &gt; 0, 0)),
      "")
)</f>
        <v>Empty Row</v>
      </c>
      <c r="D491" t="str">
        <f>IF(RawDataTable[[#This Row],[Account Name and Number]]&lt;&gt;"", RawDataTable[[#This Row],[Account Name and Number]], "Empty Row")</f>
        <v>Empty Row</v>
      </c>
      <c r="E491" s="28" t="str">
        <f>IF(D491="Empty Row", "Empty Row",
   _xlfn.LET(
       _xlpm.lookupResult, _xlfn.XLOOKUP(D491, RawDataTable[Account Name and Number], RawDataTable[Investment Date], "MISSING VALUE"),
       IF(ISNUMBER(_xlpm.lookupResult), _xlpm.lookupResult, "INVALID VALUE")
   )
)</f>
        <v>Empty Row</v>
      </c>
      <c r="F491" s="29" t="str">
        <f>IF(D491="Empty Row", "Empty Row",
   _xlfn.LET(
       _xlpm.lookupResult, _xlfn.XLOOKUP(D491, RawDataTable[Account Name and Number], RawDataTable[Investment Amount], "MISSING VALUE"),
       IF(ISNUMBER(_xlpm.lookupResult), _xlpm.lookupResult, "INVALID VALUE")
   )
)</f>
        <v>Empty Row</v>
      </c>
      <c r="G491" s="28" t="str">
        <f t="shared" ca="1" si="7"/>
        <v>Empty Row</v>
      </c>
      <c r="H491" s="29" t="str">
        <f>IF(D491="Empty Row", "Empty Row",
   _xlfn.LET(
       _xlpm.lookupResult, _xlfn.XLOOKUP(D491, RawDataTable[Account Name and Number], RawDataTable[Valuation Amount], "MISSING VALUE"),
       IF(ISNUMBER(_xlpm.lookupResult), _xlpm.lookupResult, "INVALID VALUE")
   )
)</f>
        <v>Empty Row</v>
      </c>
      <c r="I491" s="2" t="str">
        <f>IF(D491="Empty Row", "Empty Row", IF(_xlfn.XLOOKUP(B491, MasterTable[IRA Custodian], MasterTable[Address], "")="", "NO STREET NAME FOUND", _xlfn.XLOOKUP(B491, MasterTable[IRA Custodian], MasterTable[Address], "")))</f>
        <v>Empty Row</v>
      </c>
      <c r="J491" s="2" t="str">
        <f>IF(D491="Empty Row", "Empty Row",
   IF(OR(
       _xlfn.XLOOKUP(B491, MasterTable[IRA Custodian], MasterTable[City], "")="",
       _xlfn.XLOOKUP(B491, MasterTable[IRA Custodian], MasterTable[State], "")="",
       _xlfn.XLOOKUP(B491, MasterTable[IRA Custodian], MasterTable[Zip], "")=""),
       "INCOMPLETE ADDRESS",
       _xlfn.CONCAT(
           _xlfn.XLOOKUP(B491, MasterTable[IRA Custodian], MasterTable[City], ""), ", ",
           _xlfn.XLOOKUP(B491, MasterTable[IRA Custodian], MasterTable[State], ""), " ",
           _xlfn.XLOOKUP(B491, MasterTable[IRA Custodian], MasterTable[Zip], "")
       )
   )
)</f>
        <v>Empty Row</v>
      </c>
    </row>
    <row r="492" spans="1:10" x14ac:dyDescent="0.25">
      <c r="A492" t="str">
        <f>IF(D492="Empty Row", "Empty Row",
   _xlfn.LET(
       _xlpm.lookupResult, _xlfn.XLOOKUP(D492, RawDataTable[Account Name and Number], RawDataTable[Entity], "RAW DATA MISSING"),
       IF(ISBLANK(_xlpm.lookupResult), "RAW DATA MISSING", _xlpm.lookupResult)
   )
)</f>
        <v>Empty Row</v>
      </c>
      <c r="B492" t="str">
        <f>IF(D492="Empty Row", "Empty Row",
   _xlfn.LET(
       _xlpm.rawDataLookup, _xlfn.XLOOKUP(D492,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92" s="56" t="str" cm="1">
        <f t="array" ref="C492">IF(D492="Empty Row", "Empty Row",
   IF(COUNTIF('Name Mapping'!H:AD, D492) &gt; 0,
      INDEX('Name Mapping'!F:F, MATCH(TRUE, MMULT(--('Name Mapping'!H:AD=D492), TRANSPOSE(COLUMN('Name Mapping'!H:AD)^0)) &gt; 0, 0)),
      "")
)</f>
        <v>Empty Row</v>
      </c>
      <c r="D492" t="str">
        <f>IF(RawDataTable[[#This Row],[Account Name and Number]]&lt;&gt;"", RawDataTable[[#This Row],[Account Name and Number]], "Empty Row")</f>
        <v>Empty Row</v>
      </c>
      <c r="E492" s="28" t="str">
        <f>IF(D492="Empty Row", "Empty Row",
   _xlfn.LET(
       _xlpm.lookupResult, _xlfn.XLOOKUP(D492, RawDataTable[Account Name and Number], RawDataTable[Investment Date], "MISSING VALUE"),
       IF(ISNUMBER(_xlpm.lookupResult), _xlpm.lookupResult, "INVALID VALUE")
   )
)</f>
        <v>Empty Row</v>
      </c>
      <c r="F492" s="29" t="str">
        <f>IF(D492="Empty Row", "Empty Row",
   _xlfn.LET(
       _xlpm.lookupResult, _xlfn.XLOOKUP(D492, RawDataTable[Account Name and Number], RawDataTable[Investment Amount], "MISSING VALUE"),
       IF(ISNUMBER(_xlpm.lookupResult), _xlpm.lookupResult, "INVALID VALUE")
   )
)</f>
        <v>Empty Row</v>
      </c>
      <c r="G492" s="28" t="str">
        <f t="shared" ca="1" si="7"/>
        <v>Empty Row</v>
      </c>
      <c r="H492" s="29" t="str">
        <f>IF(D492="Empty Row", "Empty Row",
   _xlfn.LET(
       _xlpm.lookupResult, _xlfn.XLOOKUP(D492, RawDataTable[Account Name and Number], RawDataTable[Valuation Amount], "MISSING VALUE"),
       IF(ISNUMBER(_xlpm.lookupResult), _xlpm.lookupResult, "INVALID VALUE")
   )
)</f>
        <v>Empty Row</v>
      </c>
      <c r="I492" s="2" t="str">
        <f>IF(D492="Empty Row", "Empty Row", IF(_xlfn.XLOOKUP(B492, MasterTable[IRA Custodian], MasterTable[Address], "")="", "NO STREET NAME FOUND", _xlfn.XLOOKUP(B492, MasterTable[IRA Custodian], MasterTable[Address], "")))</f>
        <v>Empty Row</v>
      </c>
      <c r="J492" s="2" t="str">
        <f>IF(D492="Empty Row", "Empty Row",
   IF(OR(
       _xlfn.XLOOKUP(B492, MasterTable[IRA Custodian], MasterTable[City], "")="",
       _xlfn.XLOOKUP(B492, MasterTable[IRA Custodian], MasterTable[State], "")="",
       _xlfn.XLOOKUP(B492, MasterTable[IRA Custodian], MasterTable[Zip], "")=""),
       "INCOMPLETE ADDRESS",
       _xlfn.CONCAT(
           _xlfn.XLOOKUP(B492, MasterTable[IRA Custodian], MasterTable[City], ""), ", ",
           _xlfn.XLOOKUP(B492, MasterTable[IRA Custodian], MasterTable[State], ""), " ",
           _xlfn.XLOOKUP(B492, MasterTable[IRA Custodian], MasterTable[Zip], "")
       )
   )
)</f>
        <v>Empty Row</v>
      </c>
    </row>
    <row r="493" spans="1:10" x14ac:dyDescent="0.25">
      <c r="A493" t="str">
        <f>IF(D493="Empty Row", "Empty Row",
   _xlfn.LET(
       _xlpm.lookupResult, _xlfn.XLOOKUP(D493, RawDataTable[Account Name and Number], RawDataTable[Entity], "RAW DATA MISSING"),
       IF(ISBLANK(_xlpm.lookupResult), "RAW DATA MISSING", _xlpm.lookupResult)
   )
)</f>
        <v>Empty Row</v>
      </c>
      <c r="B493" t="str">
        <f>IF(D493="Empty Row", "Empty Row",
   _xlfn.LET(
       _xlpm.rawDataLookup, _xlfn.XLOOKUP(D493,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93" s="56" t="str" cm="1">
        <f t="array" ref="C493">IF(D493="Empty Row", "Empty Row",
   IF(COUNTIF('Name Mapping'!H:AD, D493) &gt; 0,
      INDEX('Name Mapping'!F:F, MATCH(TRUE, MMULT(--('Name Mapping'!H:AD=D493), TRANSPOSE(COLUMN('Name Mapping'!H:AD)^0)) &gt; 0, 0)),
      "")
)</f>
        <v>Empty Row</v>
      </c>
      <c r="D493" t="str">
        <f>IF(RawDataTable[[#This Row],[Account Name and Number]]&lt;&gt;"", RawDataTable[[#This Row],[Account Name and Number]], "Empty Row")</f>
        <v>Empty Row</v>
      </c>
      <c r="E493" s="28" t="str">
        <f>IF(D493="Empty Row", "Empty Row",
   _xlfn.LET(
       _xlpm.lookupResult, _xlfn.XLOOKUP(D493, RawDataTable[Account Name and Number], RawDataTable[Investment Date], "MISSING VALUE"),
       IF(ISNUMBER(_xlpm.lookupResult), _xlpm.lookupResult, "INVALID VALUE")
   )
)</f>
        <v>Empty Row</v>
      </c>
      <c r="F493" s="29" t="str">
        <f>IF(D493="Empty Row", "Empty Row",
   _xlfn.LET(
       _xlpm.lookupResult, _xlfn.XLOOKUP(D493, RawDataTable[Account Name and Number], RawDataTable[Investment Amount], "MISSING VALUE"),
       IF(ISNUMBER(_xlpm.lookupResult), _xlpm.lookupResult, "INVALID VALUE")
   )
)</f>
        <v>Empty Row</v>
      </c>
      <c r="G493" s="28" t="str">
        <f t="shared" ca="1" si="7"/>
        <v>Empty Row</v>
      </c>
      <c r="H493" s="29" t="str">
        <f>IF(D493="Empty Row", "Empty Row",
   _xlfn.LET(
       _xlpm.lookupResult, _xlfn.XLOOKUP(D493, RawDataTable[Account Name and Number], RawDataTable[Valuation Amount], "MISSING VALUE"),
       IF(ISNUMBER(_xlpm.lookupResult), _xlpm.lookupResult, "INVALID VALUE")
   )
)</f>
        <v>Empty Row</v>
      </c>
      <c r="I493" s="2" t="str">
        <f>IF(D493="Empty Row", "Empty Row", IF(_xlfn.XLOOKUP(B493, MasterTable[IRA Custodian], MasterTable[Address], "")="", "NO STREET NAME FOUND", _xlfn.XLOOKUP(B493, MasterTable[IRA Custodian], MasterTable[Address], "")))</f>
        <v>Empty Row</v>
      </c>
      <c r="J493" s="2" t="str">
        <f>IF(D493="Empty Row", "Empty Row",
   IF(OR(
       _xlfn.XLOOKUP(B493, MasterTable[IRA Custodian], MasterTable[City], "")="",
       _xlfn.XLOOKUP(B493, MasterTable[IRA Custodian], MasterTable[State], "")="",
       _xlfn.XLOOKUP(B493, MasterTable[IRA Custodian], MasterTable[Zip], "")=""),
       "INCOMPLETE ADDRESS",
       _xlfn.CONCAT(
           _xlfn.XLOOKUP(B493, MasterTable[IRA Custodian], MasterTable[City], ""), ", ",
           _xlfn.XLOOKUP(B493, MasterTable[IRA Custodian], MasterTable[State], ""), " ",
           _xlfn.XLOOKUP(B493, MasterTable[IRA Custodian], MasterTable[Zip], "")
       )
   )
)</f>
        <v>Empty Row</v>
      </c>
    </row>
    <row r="494" spans="1:10" x14ac:dyDescent="0.25">
      <c r="A494" t="str">
        <f>IF(D494="Empty Row", "Empty Row",
   _xlfn.LET(
       _xlpm.lookupResult, _xlfn.XLOOKUP(D494, RawDataTable[Account Name and Number], RawDataTable[Entity], "RAW DATA MISSING"),
       IF(ISBLANK(_xlpm.lookupResult), "RAW DATA MISSING", _xlpm.lookupResult)
   )
)</f>
        <v>Empty Row</v>
      </c>
      <c r="B494" t="str">
        <f>IF(D494="Empty Row", "Empty Row",
   _xlfn.LET(
       _xlpm.rawDataLookup, _xlfn.XLOOKUP(D494,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94" s="56" t="str" cm="1">
        <f t="array" ref="C494">IF(D494="Empty Row", "Empty Row",
   IF(COUNTIF('Name Mapping'!H:AD, D494) &gt; 0,
      INDEX('Name Mapping'!F:F, MATCH(TRUE, MMULT(--('Name Mapping'!H:AD=D494), TRANSPOSE(COLUMN('Name Mapping'!H:AD)^0)) &gt; 0, 0)),
      "")
)</f>
        <v>Empty Row</v>
      </c>
      <c r="D494" t="str">
        <f>IF(RawDataTable[[#This Row],[Account Name and Number]]&lt;&gt;"", RawDataTable[[#This Row],[Account Name and Number]], "Empty Row")</f>
        <v>Empty Row</v>
      </c>
      <c r="E494" s="28" t="str">
        <f>IF(D494="Empty Row", "Empty Row",
   _xlfn.LET(
       _xlpm.lookupResult, _xlfn.XLOOKUP(D494, RawDataTable[Account Name and Number], RawDataTable[Investment Date], "MISSING VALUE"),
       IF(ISNUMBER(_xlpm.lookupResult), _xlpm.lookupResult, "INVALID VALUE")
   )
)</f>
        <v>Empty Row</v>
      </c>
      <c r="F494" s="29" t="str">
        <f>IF(D494="Empty Row", "Empty Row",
   _xlfn.LET(
       _xlpm.lookupResult, _xlfn.XLOOKUP(D494, RawDataTable[Account Name and Number], RawDataTable[Investment Amount], "MISSING VALUE"),
       IF(ISNUMBER(_xlpm.lookupResult), _xlpm.lookupResult, "INVALID VALUE")
   )
)</f>
        <v>Empty Row</v>
      </c>
      <c r="G494" s="28" t="str">
        <f t="shared" ca="1" si="7"/>
        <v>Empty Row</v>
      </c>
      <c r="H494" s="29" t="str">
        <f>IF(D494="Empty Row", "Empty Row",
   _xlfn.LET(
       _xlpm.lookupResult, _xlfn.XLOOKUP(D494, RawDataTable[Account Name and Number], RawDataTable[Valuation Amount], "MISSING VALUE"),
       IF(ISNUMBER(_xlpm.lookupResult), _xlpm.lookupResult, "INVALID VALUE")
   )
)</f>
        <v>Empty Row</v>
      </c>
      <c r="I494" s="2" t="str">
        <f>IF(D494="Empty Row", "Empty Row", IF(_xlfn.XLOOKUP(B494, MasterTable[IRA Custodian], MasterTable[Address], "")="", "NO STREET NAME FOUND", _xlfn.XLOOKUP(B494, MasterTable[IRA Custodian], MasterTable[Address], "")))</f>
        <v>Empty Row</v>
      </c>
      <c r="J494" s="2" t="str">
        <f>IF(D494="Empty Row", "Empty Row",
   IF(OR(
       _xlfn.XLOOKUP(B494, MasterTable[IRA Custodian], MasterTable[City], "")="",
       _xlfn.XLOOKUP(B494, MasterTable[IRA Custodian], MasterTable[State], "")="",
       _xlfn.XLOOKUP(B494, MasterTable[IRA Custodian], MasterTable[Zip], "")=""),
       "INCOMPLETE ADDRESS",
       _xlfn.CONCAT(
           _xlfn.XLOOKUP(B494, MasterTable[IRA Custodian], MasterTable[City], ""), ", ",
           _xlfn.XLOOKUP(B494, MasterTable[IRA Custodian], MasterTable[State], ""), " ",
           _xlfn.XLOOKUP(B494, MasterTable[IRA Custodian], MasterTable[Zip], "")
       )
   )
)</f>
        <v>Empty Row</v>
      </c>
    </row>
    <row r="495" spans="1:10" x14ac:dyDescent="0.25">
      <c r="A495" t="str">
        <f>IF(D495="Empty Row", "Empty Row",
   _xlfn.LET(
       _xlpm.lookupResult, _xlfn.XLOOKUP(D495, RawDataTable[Account Name and Number], RawDataTable[Entity], "RAW DATA MISSING"),
       IF(ISBLANK(_xlpm.lookupResult), "RAW DATA MISSING", _xlpm.lookupResult)
   )
)</f>
        <v>Empty Row</v>
      </c>
      <c r="B495" t="str">
        <f>IF(D495="Empty Row", "Empty Row",
   _xlfn.LET(
       _xlpm.rawDataLookup, _xlfn.XLOOKUP(D495,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95" s="56" t="str" cm="1">
        <f t="array" ref="C495">IF(D495="Empty Row", "Empty Row",
   IF(COUNTIF('Name Mapping'!H:AD, D495) &gt; 0,
      INDEX('Name Mapping'!F:F, MATCH(TRUE, MMULT(--('Name Mapping'!H:AD=D495), TRANSPOSE(COLUMN('Name Mapping'!H:AD)^0)) &gt; 0, 0)),
      "")
)</f>
        <v>Empty Row</v>
      </c>
      <c r="D495" t="str">
        <f>IF(RawDataTable[[#This Row],[Account Name and Number]]&lt;&gt;"", RawDataTable[[#This Row],[Account Name and Number]], "Empty Row")</f>
        <v>Empty Row</v>
      </c>
      <c r="E495" s="28" t="str">
        <f>IF(D495="Empty Row", "Empty Row",
   _xlfn.LET(
       _xlpm.lookupResult, _xlfn.XLOOKUP(D495, RawDataTable[Account Name and Number], RawDataTable[Investment Date], "MISSING VALUE"),
       IF(ISNUMBER(_xlpm.lookupResult), _xlpm.lookupResult, "INVALID VALUE")
   )
)</f>
        <v>Empty Row</v>
      </c>
      <c r="F495" s="29" t="str">
        <f>IF(D495="Empty Row", "Empty Row",
   _xlfn.LET(
       _xlpm.lookupResult, _xlfn.XLOOKUP(D495, RawDataTable[Account Name and Number], RawDataTable[Investment Amount], "MISSING VALUE"),
       IF(ISNUMBER(_xlpm.lookupResult), _xlpm.lookupResult, "INVALID VALUE")
   )
)</f>
        <v>Empty Row</v>
      </c>
      <c r="G495" s="28" t="str">
        <f t="shared" ca="1" si="7"/>
        <v>Empty Row</v>
      </c>
      <c r="H495" s="29" t="str">
        <f>IF(D495="Empty Row", "Empty Row",
   _xlfn.LET(
       _xlpm.lookupResult, _xlfn.XLOOKUP(D495, RawDataTable[Account Name and Number], RawDataTable[Valuation Amount], "MISSING VALUE"),
       IF(ISNUMBER(_xlpm.lookupResult), _xlpm.lookupResult, "INVALID VALUE")
   )
)</f>
        <v>Empty Row</v>
      </c>
      <c r="I495" s="2" t="str">
        <f>IF(D495="Empty Row", "Empty Row", IF(_xlfn.XLOOKUP(B495, MasterTable[IRA Custodian], MasterTable[Address], "")="", "NO STREET NAME FOUND", _xlfn.XLOOKUP(B495, MasterTable[IRA Custodian], MasterTable[Address], "")))</f>
        <v>Empty Row</v>
      </c>
      <c r="J495" s="2" t="str">
        <f>IF(D495="Empty Row", "Empty Row",
   IF(OR(
       _xlfn.XLOOKUP(B495, MasterTable[IRA Custodian], MasterTable[City], "")="",
       _xlfn.XLOOKUP(B495, MasterTable[IRA Custodian], MasterTable[State], "")="",
       _xlfn.XLOOKUP(B495, MasterTable[IRA Custodian], MasterTable[Zip], "")=""),
       "INCOMPLETE ADDRESS",
       _xlfn.CONCAT(
           _xlfn.XLOOKUP(B495, MasterTable[IRA Custodian], MasterTable[City], ""), ", ",
           _xlfn.XLOOKUP(B495, MasterTable[IRA Custodian], MasterTable[State], ""), " ",
           _xlfn.XLOOKUP(B495, MasterTable[IRA Custodian], MasterTable[Zip], "")
       )
   )
)</f>
        <v>Empty Row</v>
      </c>
    </row>
    <row r="496" spans="1:10" x14ac:dyDescent="0.25">
      <c r="A496" t="str">
        <f>IF(D496="Empty Row", "Empty Row",
   _xlfn.LET(
       _xlpm.lookupResult, _xlfn.XLOOKUP(D496, RawDataTable[Account Name and Number], RawDataTable[Entity], "RAW DATA MISSING"),
       IF(ISBLANK(_xlpm.lookupResult), "RAW DATA MISSING", _xlpm.lookupResult)
   )
)</f>
        <v>Empty Row</v>
      </c>
      <c r="B496" t="str">
        <f>IF(D496="Empty Row", "Empty Row",
   _xlfn.LET(
       _xlpm.rawDataLookup, _xlfn.XLOOKUP(D496,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96" s="56" t="str" cm="1">
        <f t="array" ref="C496">IF(D496="Empty Row", "Empty Row",
   IF(COUNTIF('Name Mapping'!H:AD, D496) &gt; 0,
      INDEX('Name Mapping'!F:F, MATCH(TRUE, MMULT(--('Name Mapping'!H:AD=D496), TRANSPOSE(COLUMN('Name Mapping'!H:AD)^0)) &gt; 0, 0)),
      "")
)</f>
        <v>Empty Row</v>
      </c>
      <c r="D496" t="str">
        <f>IF(RawDataTable[[#This Row],[Account Name and Number]]&lt;&gt;"", RawDataTable[[#This Row],[Account Name and Number]], "Empty Row")</f>
        <v>Empty Row</v>
      </c>
      <c r="E496" s="28" t="str">
        <f>IF(D496="Empty Row", "Empty Row",
   _xlfn.LET(
       _xlpm.lookupResult, _xlfn.XLOOKUP(D496, RawDataTable[Account Name and Number], RawDataTable[Investment Date], "MISSING VALUE"),
       IF(ISNUMBER(_xlpm.lookupResult), _xlpm.lookupResult, "INVALID VALUE")
   )
)</f>
        <v>Empty Row</v>
      </c>
      <c r="F496" s="29" t="str">
        <f>IF(D496="Empty Row", "Empty Row",
   _xlfn.LET(
       _xlpm.lookupResult, _xlfn.XLOOKUP(D496, RawDataTable[Account Name and Number], RawDataTable[Investment Amount], "MISSING VALUE"),
       IF(ISNUMBER(_xlpm.lookupResult), _xlpm.lookupResult, "INVALID VALUE")
   )
)</f>
        <v>Empty Row</v>
      </c>
      <c r="G496" s="28" t="str">
        <f t="shared" ca="1" si="7"/>
        <v>Empty Row</v>
      </c>
      <c r="H496" s="29" t="str">
        <f>IF(D496="Empty Row", "Empty Row",
   _xlfn.LET(
       _xlpm.lookupResult, _xlfn.XLOOKUP(D496, RawDataTable[Account Name and Number], RawDataTable[Valuation Amount], "MISSING VALUE"),
       IF(ISNUMBER(_xlpm.lookupResult), _xlpm.lookupResult, "INVALID VALUE")
   )
)</f>
        <v>Empty Row</v>
      </c>
      <c r="I496" s="2" t="str">
        <f>IF(D496="Empty Row", "Empty Row", IF(_xlfn.XLOOKUP(B496, MasterTable[IRA Custodian], MasterTable[Address], "")="", "NO STREET NAME FOUND", _xlfn.XLOOKUP(B496, MasterTable[IRA Custodian], MasterTable[Address], "")))</f>
        <v>Empty Row</v>
      </c>
      <c r="J496" s="2" t="str">
        <f>IF(D496="Empty Row", "Empty Row",
   IF(OR(
       _xlfn.XLOOKUP(B496, MasterTable[IRA Custodian], MasterTable[City], "")="",
       _xlfn.XLOOKUP(B496, MasterTable[IRA Custodian], MasterTable[State], "")="",
       _xlfn.XLOOKUP(B496, MasterTable[IRA Custodian], MasterTable[Zip], "")=""),
       "INCOMPLETE ADDRESS",
       _xlfn.CONCAT(
           _xlfn.XLOOKUP(B496, MasterTable[IRA Custodian], MasterTable[City], ""), ", ",
           _xlfn.XLOOKUP(B496, MasterTable[IRA Custodian], MasterTable[State], ""), " ",
           _xlfn.XLOOKUP(B496, MasterTable[IRA Custodian], MasterTable[Zip], "")
       )
   )
)</f>
        <v>Empty Row</v>
      </c>
    </row>
    <row r="497" spans="1:10" x14ac:dyDescent="0.25">
      <c r="A497" t="str">
        <f>IF(D497="Empty Row", "Empty Row",
   _xlfn.LET(
       _xlpm.lookupResult, _xlfn.XLOOKUP(D497, RawDataTable[Account Name and Number], RawDataTable[Entity], "RAW DATA MISSING"),
       IF(ISBLANK(_xlpm.lookupResult), "RAW DATA MISSING", _xlpm.lookupResult)
   )
)</f>
        <v>Empty Row</v>
      </c>
      <c r="B497" t="str">
        <f>IF(D497="Empty Row", "Empty Row",
   _xlfn.LET(
       _xlpm.rawDataLookup, _xlfn.XLOOKUP(D497,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97" s="56" t="str" cm="1">
        <f t="array" ref="C497">IF(D497="Empty Row", "Empty Row",
   IF(COUNTIF('Name Mapping'!H:AD, D497) &gt; 0,
      INDEX('Name Mapping'!F:F, MATCH(TRUE, MMULT(--('Name Mapping'!H:AD=D497), TRANSPOSE(COLUMN('Name Mapping'!H:AD)^0)) &gt; 0, 0)),
      "")
)</f>
        <v>Empty Row</v>
      </c>
      <c r="D497" t="str">
        <f>IF(RawDataTable[[#This Row],[Account Name and Number]]&lt;&gt;"", RawDataTable[[#This Row],[Account Name and Number]], "Empty Row")</f>
        <v>Empty Row</v>
      </c>
      <c r="E497" s="28" t="str">
        <f>IF(D497="Empty Row", "Empty Row",
   _xlfn.LET(
       _xlpm.lookupResult, _xlfn.XLOOKUP(D497, RawDataTable[Account Name and Number], RawDataTable[Investment Date], "MISSING VALUE"),
       IF(ISNUMBER(_xlpm.lookupResult), _xlpm.lookupResult, "INVALID VALUE")
   )
)</f>
        <v>Empty Row</v>
      </c>
      <c r="F497" s="29" t="str">
        <f>IF(D497="Empty Row", "Empty Row",
   _xlfn.LET(
       _xlpm.lookupResult, _xlfn.XLOOKUP(D497, RawDataTable[Account Name and Number], RawDataTable[Investment Amount], "MISSING VALUE"),
       IF(ISNUMBER(_xlpm.lookupResult), _xlpm.lookupResult, "INVALID VALUE")
   )
)</f>
        <v>Empty Row</v>
      </c>
      <c r="G497" s="28" t="str">
        <f t="shared" ca="1" si="7"/>
        <v>Empty Row</v>
      </c>
      <c r="H497" s="29" t="str">
        <f>IF(D497="Empty Row", "Empty Row",
   _xlfn.LET(
       _xlpm.lookupResult, _xlfn.XLOOKUP(D497, RawDataTable[Account Name and Number], RawDataTable[Valuation Amount], "MISSING VALUE"),
       IF(ISNUMBER(_xlpm.lookupResult), _xlpm.lookupResult, "INVALID VALUE")
   )
)</f>
        <v>Empty Row</v>
      </c>
      <c r="I497" s="2" t="str">
        <f>IF(D497="Empty Row", "Empty Row", IF(_xlfn.XLOOKUP(B497, MasterTable[IRA Custodian], MasterTable[Address], "")="", "NO STREET NAME FOUND", _xlfn.XLOOKUP(B497, MasterTable[IRA Custodian], MasterTable[Address], "")))</f>
        <v>Empty Row</v>
      </c>
      <c r="J497" s="2" t="str">
        <f>IF(D497="Empty Row", "Empty Row",
   IF(OR(
       _xlfn.XLOOKUP(B497, MasterTable[IRA Custodian], MasterTable[City], "")="",
       _xlfn.XLOOKUP(B497, MasterTable[IRA Custodian], MasterTable[State], "")="",
       _xlfn.XLOOKUP(B497, MasterTable[IRA Custodian], MasterTable[Zip], "")=""),
       "INCOMPLETE ADDRESS",
       _xlfn.CONCAT(
           _xlfn.XLOOKUP(B497, MasterTable[IRA Custodian], MasterTable[City], ""), ", ",
           _xlfn.XLOOKUP(B497, MasterTable[IRA Custodian], MasterTable[State], ""), " ",
           _xlfn.XLOOKUP(B497, MasterTable[IRA Custodian], MasterTable[Zip], "")
       )
   )
)</f>
        <v>Empty Row</v>
      </c>
    </row>
    <row r="498" spans="1:10" x14ac:dyDescent="0.25">
      <c r="A498" t="str">
        <f>IF(D498="Empty Row", "Empty Row",
   _xlfn.LET(
       _xlpm.lookupResult, _xlfn.XLOOKUP(D498, RawDataTable[Account Name and Number], RawDataTable[Entity], "RAW DATA MISSING"),
       IF(ISBLANK(_xlpm.lookupResult), "RAW DATA MISSING", _xlpm.lookupResult)
   )
)</f>
        <v>Empty Row</v>
      </c>
      <c r="B498" t="str">
        <f>IF(D498="Empty Row", "Empty Row",
   _xlfn.LET(
       _xlpm.rawDataLookup, _xlfn.XLOOKUP(D498,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98" s="56" t="str" cm="1">
        <f t="array" ref="C498">IF(D498="Empty Row", "Empty Row",
   IF(COUNTIF('Name Mapping'!H:AD, D498) &gt; 0,
      INDEX('Name Mapping'!F:F, MATCH(TRUE, MMULT(--('Name Mapping'!H:AD=D498), TRANSPOSE(COLUMN('Name Mapping'!H:AD)^0)) &gt; 0, 0)),
      "")
)</f>
        <v>Empty Row</v>
      </c>
      <c r="D498" t="str">
        <f>IF(RawDataTable[[#This Row],[Account Name and Number]]&lt;&gt;"", RawDataTable[[#This Row],[Account Name and Number]], "Empty Row")</f>
        <v>Empty Row</v>
      </c>
      <c r="E498" s="28" t="str">
        <f>IF(D498="Empty Row", "Empty Row",
   _xlfn.LET(
       _xlpm.lookupResult, _xlfn.XLOOKUP(D498, RawDataTable[Account Name and Number], RawDataTable[Investment Date], "MISSING VALUE"),
       IF(ISNUMBER(_xlpm.lookupResult), _xlpm.lookupResult, "INVALID VALUE")
   )
)</f>
        <v>Empty Row</v>
      </c>
      <c r="F498" s="29" t="str">
        <f>IF(D498="Empty Row", "Empty Row",
   _xlfn.LET(
       _xlpm.lookupResult, _xlfn.XLOOKUP(D498, RawDataTable[Account Name and Number], RawDataTable[Investment Amount], "MISSING VALUE"),
       IF(ISNUMBER(_xlpm.lookupResult), _xlpm.lookupResult, "INVALID VALUE")
   )
)</f>
        <v>Empty Row</v>
      </c>
      <c r="G498" s="28" t="str">
        <f t="shared" ca="1" si="7"/>
        <v>Empty Row</v>
      </c>
      <c r="H498" s="29" t="str">
        <f>IF(D498="Empty Row", "Empty Row",
   _xlfn.LET(
       _xlpm.lookupResult, _xlfn.XLOOKUP(D498, RawDataTable[Account Name and Number], RawDataTable[Valuation Amount], "MISSING VALUE"),
       IF(ISNUMBER(_xlpm.lookupResult), _xlpm.lookupResult, "INVALID VALUE")
   )
)</f>
        <v>Empty Row</v>
      </c>
      <c r="I498" s="2" t="str">
        <f>IF(D498="Empty Row", "Empty Row", IF(_xlfn.XLOOKUP(B498, MasterTable[IRA Custodian], MasterTable[Address], "")="", "NO STREET NAME FOUND", _xlfn.XLOOKUP(B498, MasterTable[IRA Custodian], MasterTable[Address], "")))</f>
        <v>Empty Row</v>
      </c>
      <c r="J498" s="2" t="str">
        <f>IF(D498="Empty Row", "Empty Row",
   IF(OR(
       _xlfn.XLOOKUP(B498, MasterTable[IRA Custodian], MasterTable[City], "")="",
       _xlfn.XLOOKUP(B498, MasterTable[IRA Custodian], MasterTable[State], "")="",
       _xlfn.XLOOKUP(B498, MasterTable[IRA Custodian], MasterTable[Zip], "")=""),
       "INCOMPLETE ADDRESS",
       _xlfn.CONCAT(
           _xlfn.XLOOKUP(B498, MasterTable[IRA Custodian], MasterTable[City], ""), ", ",
           _xlfn.XLOOKUP(B498, MasterTable[IRA Custodian], MasterTable[State], ""), " ",
           _xlfn.XLOOKUP(B498, MasterTable[IRA Custodian], MasterTable[Zip], "")
       )
   )
)</f>
        <v>Empty Row</v>
      </c>
    </row>
    <row r="499" spans="1:10" x14ac:dyDescent="0.25">
      <c r="A499" t="str">
        <f>IF(D499="Empty Row", "Empty Row",
   _xlfn.LET(
       _xlpm.lookupResult, _xlfn.XLOOKUP(D499, RawDataTable[Account Name and Number], RawDataTable[Entity], "RAW DATA MISSING"),
       IF(ISBLANK(_xlpm.lookupResult), "RAW DATA MISSING", _xlpm.lookupResult)
   )
)</f>
        <v>Empty Row</v>
      </c>
      <c r="B499" t="str">
        <f>IF(D499="Empty Row", "Empty Row",
   _xlfn.LET(
       _xlpm.rawDataLookup, _xlfn.XLOOKUP(D499,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499" s="56" t="str" cm="1">
        <f t="array" ref="C499">IF(D499="Empty Row", "Empty Row",
   IF(COUNTIF('Name Mapping'!H:AD, D499) &gt; 0,
      INDEX('Name Mapping'!F:F, MATCH(TRUE, MMULT(--('Name Mapping'!H:AD=D499), TRANSPOSE(COLUMN('Name Mapping'!H:AD)^0)) &gt; 0, 0)),
      "")
)</f>
        <v>Empty Row</v>
      </c>
      <c r="D499" t="str">
        <f>IF(RawDataTable[[#This Row],[Account Name and Number]]&lt;&gt;"", RawDataTable[[#This Row],[Account Name and Number]], "Empty Row")</f>
        <v>Empty Row</v>
      </c>
      <c r="E499" s="28" t="str">
        <f>IF(D499="Empty Row", "Empty Row",
   _xlfn.LET(
       _xlpm.lookupResult, _xlfn.XLOOKUP(D499, RawDataTable[Account Name and Number], RawDataTable[Investment Date], "MISSING VALUE"),
       IF(ISNUMBER(_xlpm.lookupResult), _xlpm.lookupResult, "INVALID VALUE")
   )
)</f>
        <v>Empty Row</v>
      </c>
      <c r="F499" s="29" t="str">
        <f>IF(D499="Empty Row", "Empty Row",
   _xlfn.LET(
       _xlpm.lookupResult, _xlfn.XLOOKUP(D499, RawDataTable[Account Name and Number], RawDataTable[Investment Amount], "MISSING VALUE"),
       IF(ISNUMBER(_xlpm.lookupResult), _xlpm.lookupResult, "INVALID VALUE")
   )
)</f>
        <v>Empty Row</v>
      </c>
      <c r="G499" s="28" t="str">
        <f t="shared" ca="1" si="7"/>
        <v>Empty Row</v>
      </c>
      <c r="H499" s="29" t="str">
        <f>IF(D499="Empty Row", "Empty Row",
   _xlfn.LET(
       _xlpm.lookupResult, _xlfn.XLOOKUP(D499, RawDataTable[Account Name and Number], RawDataTable[Valuation Amount], "MISSING VALUE"),
       IF(ISNUMBER(_xlpm.lookupResult), _xlpm.lookupResult, "INVALID VALUE")
   )
)</f>
        <v>Empty Row</v>
      </c>
      <c r="I499" s="2" t="str">
        <f>IF(D499="Empty Row", "Empty Row", IF(_xlfn.XLOOKUP(B499, MasterTable[IRA Custodian], MasterTable[Address], "")="", "NO STREET NAME FOUND", _xlfn.XLOOKUP(B499, MasterTable[IRA Custodian], MasterTable[Address], "")))</f>
        <v>Empty Row</v>
      </c>
      <c r="J499" s="2" t="str">
        <f>IF(D499="Empty Row", "Empty Row",
   IF(OR(
       _xlfn.XLOOKUP(B499, MasterTable[IRA Custodian], MasterTable[City], "")="",
       _xlfn.XLOOKUP(B499, MasterTable[IRA Custodian], MasterTable[State], "")="",
       _xlfn.XLOOKUP(B499, MasterTable[IRA Custodian], MasterTable[Zip], "")=""),
       "INCOMPLETE ADDRESS",
       _xlfn.CONCAT(
           _xlfn.XLOOKUP(B499, MasterTable[IRA Custodian], MasterTable[City], ""), ", ",
           _xlfn.XLOOKUP(B499, MasterTable[IRA Custodian], MasterTable[State], ""), " ",
           _xlfn.XLOOKUP(B499, MasterTable[IRA Custodian], MasterTable[Zip], "")
       )
   )
)</f>
        <v>Empty Row</v>
      </c>
    </row>
    <row r="500" spans="1:10" x14ac:dyDescent="0.25">
      <c r="A500" t="str">
        <f>IF(D500="Empty Row", "Empty Row",
   _xlfn.LET(
       _xlpm.lookupResult, _xlfn.XLOOKUP(D500, RawDataTable[Account Name and Number], RawDataTable[Entity], "RAW DATA MISSING"),
       IF(ISBLANK(_xlpm.lookupResult), "RAW DATA MISSING", _xlpm.lookupResult)
   )
)</f>
        <v>Empty Row</v>
      </c>
      <c r="B500" t="str">
        <f>IF(D500="Empty Row", "Empty Row",
   _xlfn.LET(
       _xlpm.rawDataLookup, _xlfn.XLOOKUP(D500, RawDataTable[Account Name and Number], RawDataTable[Custodian], "RAW DATA MISSING"),
       _xlpm.nameMappingLookup, _xlfn.XLOOKUP(_xlpm.rawDataLookup, 'Name Mapping'!D:D, 'Name Mapping'!C:C, "NAME MAPPING ERROR"),
       IF(ISBLANK(_xlpm.nameMappingLookup), "NAME MAPPING ERROR", _xlpm.nameMappingLookup)
   )
)</f>
        <v>Empty Row</v>
      </c>
      <c r="C500" s="56" t="str" cm="1">
        <f t="array" ref="C500">IF(D500="Empty Row", "Empty Row",
   IF(COUNTIF('Name Mapping'!H:AD, D500) &gt; 0,
      INDEX('Name Mapping'!F:F, MATCH(TRUE, MMULT(--('Name Mapping'!H:AD=D500), TRANSPOSE(COLUMN('Name Mapping'!H:AD)^0)) &gt; 0, 0)),
      "")
)</f>
        <v>Empty Row</v>
      </c>
      <c r="D500" t="str">
        <f>IF(RawDataTable[[#This Row],[Account Name and Number]]&lt;&gt;"", RawDataTable[[#This Row],[Account Name and Number]], "Empty Row")</f>
        <v>Empty Row</v>
      </c>
      <c r="E500" s="28" t="str">
        <f>IF(D500="Empty Row", "Empty Row",
   _xlfn.LET(
       _xlpm.lookupResult, _xlfn.XLOOKUP(D500, RawDataTable[Account Name and Number], RawDataTable[Investment Date], "MISSING VALUE"),
       IF(ISNUMBER(_xlpm.lookupResult), _xlpm.lookupResult, "INVALID VALUE")
   )
)</f>
        <v>Empty Row</v>
      </c>
      <c r="F500" s="29" t="str">
        <f>IF(D500="Empty Row", "Empty Row",
   _xlfn.LET(
       _xlpm.lookupResult, _xlfn.XLOOKUP(D500, RawDataTable[Account Name and Number], RawDataTable[Investment Amount], "MISSING VALUE"),
       IF(ISNUMBER(_xlpm.lookupResult), _xlpm.lookupResult, "INVALID VALUE")
   )
)</f>
        <v>Empty Row</v>
      </c>
      <c r="G500" s="28" t="str">
        <f t="shared" ca="1" si="7"/>
        <v>Empty Row</v>
      </c>
      <c r="H500" s="29" t="str">
        <f>IF(D500="Empty Row", "Empty Row",
   _xlfn.LET(
       _xlpm.lookupResult, _xlfn.XLOOKUP(D500, RawDataTable[Account Name and Number], RawDataTable[Valuation Amount], "MISSING VALUE"),
       IF(ISNUMBER(_xlpm.lookupResult), _xlpm.lookupResult, "INVALID VALUE")
   )
)</f>
        <v>Empty Row</v>
      </c>
      <c r="I500" s="2" t="str">
        <f>IF(D500="Empty Row", "Empty Row", IF(_xlfn.XLOOKUP(B500, MasterTable[IRA Custodian], MasterTable[Address], "")="", "NO STREET NAME FOUND", _xlfn.XLOOKUP(B500, MasterTable[IRA Custodian], MasterTable[Address], "")))</f>
        <v>Empty Row</v>
      </c>
      <c r="J500" s="2" t="str">
        <f>IF(D500="Empty Row", "Empty Row",
   IF(OR(
       _xlfn.XLOOKUP(B500, MasterTable[IRA Custodian], MasterTable[City], "")="",
       _xlfn.XLOOKUP(B500, MasterTable[IRA Custodian], MasterTable[State], "")="",
       _xlfn.XLOOKUP(B500, MasterTable[IRA Custodian], MasterTable[Zip], "")=""),
       "INCOMPLETE ADDRESS",
       _xlfn.CONCAT(
           _xlfn.XLOOKUP(B500, MasterTable[IRA Custodian], MasterTable[City], ""), ", ",
           _xlfn.XLOOKUP(B500, MasterTable[IRA Custodian], MasterTable[State], ""), " ",
           _xlfn.XLOOKUP(B500, MasterTable[IRA Custodian], MasterTable[Zip], "")
       )
   )
)</f>
        <v>Empty Row</v>
      </c>
    </row>
  </sheetData>
  <autoFilter ref="A1:J500" xr:uid="{00000000-0001-0000-0000-000000000000}">
    <sortState xmlns:xlrd2="http://schemas.microsoft.com/office/spreadsheetml/2017/richdata2" ref="A2:J190">
      <sortCondition ref="B1:B500"/>
    </sortState>
  </autoFilter>
  <phoneticPr fontId="2" type="noConversion"/>
  <conditionalFormatting sqref="A1:J1048576">
    <cfRule type="containsText" dxfId="5" priority="8" operator="containsText" text="RAW DATA MISSING">
      <formula>NOT(ISERROR(SEARCH("RAW DATA MISSING",A1)))</formula>
    </cfRule>
    <cfRule type="containsText" dxfId="4" priority="9" operator="containsText" text="NAME MAPPING ERROR">
      <formula>NOT(ISERROR(SEARCH("NAME MAPPING ERROR",A1)))</formula>
    </cfRule>
  </conditionalFormatting>
  <conditionalFormatting sqref="A1:XFD1048576">
    <cfRule type="containsText" dxfId="3" priority="1" operator="containsText" text="INVALID VALUE">
      <formula>NOT(ISERROR(SEARCH("INVALID VALUE",A1)))</formula>
    </cfRule>
    <cfRule type="containsText" dxfId="2" priority="2" operator="containsText" text="INCOMPLETE ADDRESS">
      <formula>NOT(ISERROR(SEARCH("INCOMPLETE ADDRESS",A1)))</formula>
    </cfRule>
    <cfRule type="containsText" dxfId="1" priority="6" operator="containsText" text="NO STREET NAME FOUND">
      <formula>NOT(ISERROR(SEARCH("NO STREET NAME FOUND",A1)))</formula>
    </cfRule>
    <cfRule type="containsText" dxfId="0" priority="7" operator="containsText" text="Empty Row">
      <formula>NOT(ISERROR(SEARCH("Empty Row",A1)))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180A-01D7-4B28-8240-AEB2924333A6}">
  <sheetPr codeName="Sheet6">
    <tabColor theme="0" tint="-0.14999847407452621"/>
  </sheetPr>
  <dimension ref="A1:G190"/>
  <sheetViews>
    <sheetView workbookViewId="0">
      <selection activeCell="A2" sqref="A2:G190"/>
    </sheetView>
  </sheetViews>
  <sheetFormatPr defaultRowHeight="15" x14ac:dyDescent="0.25"/>
  <cols>
    <col min="1" max="1" width="22.140625" bestFit="1" customWidth="1"/>
    <col min="2" max="2" width="62.140625" bestFit="1" customWidth="1"/>
    <col min="3" max="3" width="26.7109375" bestFit="1" customWidth="1"/>
    <col min="4" max="4" width="56.42578125" bestFit="1" customWidth="1"/>
    <col min="5" max="5" width="22.85546875" style="55" bestFit="1" customWidth="1"/>
    <col min="6" max="6" width="19" bestFit="1" customWidth="1"/>
    <col min="7" max="7" width="20.7109375" bestFit="1" customWidth="1"/>
  </cols>
  <sheetData>
    <row r="1" spans="1:7" x14ac:dyDescent="0.25">
      <c r="A1" s="13" t="s">
        <v>19</v>
      </c>
      <c r="B1" s="13" t="s">
        <v>33</v>
      </c>
      <c r="C1" s="13" t="s">
        <v>6</v>
      </c>
      <c r="D1" s="13" t="s">
        <v>32</v>
      </c>
      <c r="E1" s="54" t="s">
        <v>1</v>
      </c>
      <c r="F1" s="33" t="s">
        <v>2</v>
      </c>
      <c r="G1" s="33" t="s">
        <v>4</v>
      </c>
    </row>
    <row r="2" spans="1:7" x14ac:dyDescent="0.25">
      <c r="A2" s="50"/>
      <c r="B2" s="50"/>
      <c r="C2" s="50"/>
      <c r="D2" s="50"/>
      <c r="E2" s="51"/>
      <c r="F2" s="50"/>
      <c r="G2" s="50"/>
    </row>
    <row r="3" spans="1:7" x14ac:dyDescent="0.25">
      <c r="A3" s="50"/>
      <c r="B3" s="50"/>
      <c r="C3" s="50"/>
      <c r="D3" s="50"/>
      <c r="E3" s="51"/>
      <c r="F3" s="50"/>
      <c r="G3" s="50"/>
    </row>
    <row r="4" spans="1:7" x14ac:dyDescent="0.25">
      <c r="A4" s="50"/>
      <c r="B4" s="50"/>
      <c r="C4" s="50"/>
      <c r="D4" s="50"/>
      <c r="E4" s="51"/>
      <c r="F4" s="50"/>
      <c r="G4" s="50"/>
    </row>
    <row r="5" spans="1:7" x14ac:dyDescent="0.25">
      <c r="A5" s="50"/>
      <c r="B5" s="50"/>
      <c r="C5" s="50"/>
      <c r="D5" s="50"/>
      <c r="E5" s="51"/>
      <c r="F5" s="50"/>
      <c r="G5" s="50"/>
    </row>
    <row r="6" spans="1:7" x14ac:dyDescent="0.25">
      <c r="A6" s="50"/>
      <c r="B6" s="50"/>
      <c r="C6" s="50"/>
      <c r="D6" s="50"/>
      <c r="E6" s="51"/>
      <c r="F6" s="50"/>
      <c r="G6" s="50"/>
    </row>
    <row r="7" spans="1:7" x14ac:dyDescent="0.25">
      <c r="A7" s="50"/>
      <c r="B7" s="50"/>
      <c r="C7" s="50"/>
      <c r="D7" s="50"/>
      <c r="E7" s="51"/>
      <c r="F7" s="50"/>
      <c r="G7" s="50"/>
    </row>
    <row r="8" spans="1:7" x14ac:dyDescent="0.25">
      <c r="A8" s="50"/>
      <c r="B8" s="50"/>
      <c r="C8" s="50"/>
      <c r="D8" s="50"/>
      <c r="E8" s="51"/>
      <c r="F8" s="50"/>
      <c r="G8" s="50"/>
    </row>
    <row r="9" spans="1:7" x14ac:dyDescent="0.25">
      <c r="A9" s="50"/>
      <c r="B9" s="50"/>
      <c r="C9" s="50"/>
      <c r="D9" s="50"/>
      <c r="E9" s="51"/>
      <c r="F9" s="50"/>
      <c r="G9" s="50"/>
    </row>
    <row r="10" spans="1:7" x14ac:dyDescent="0.25">
      <c r="A10" s="50"/>
      <c r="B10" s="50"/>
      <c r="C10" s="50"/>
      <c r="D10" s="50"/>
      <c r="E10" s="51"/>
      <c r="F10" s="50"/>
      <c r="G10" s="50"/>
    </row>
    <row r="11" spans="1:7" x14ac:dyDescent="0.25">
      <c r="A11" s="50"/>
      <c r="B11" s="50"/>
      <c r="C11" s="50"/>
      <c r="D11" s="50"/>
      <c r="E11" s="51"/>
      <c r="F11" s="50"/>
      <c r="G11" s="50"/>
    </row>
    <row r="12" spans="1:7" x14ac:dyDescent="0.25">
      <c r="A12" s="50"/>
      <c r="B12" s="50"/>
      <c r="C12" s="50"/>
      <c r="D12" s="50"/>
      <c r="E12" s="51"/>
      <c r="F12" s="50"/>
      <c r="G12" s="50"/>
    </row>
    <row r="13" spans="1:7" x14ac:dyDescent="0.25">
      <c r="A13" s="50"/>
      <c r="B13" s="50"/>
      <c r="C13" s="50"/>
      <c r="D13" s="50"/>
      <c r="E13" s="51"/>
      <c r="F13" s="50"/>
      <c r="G13" s="50"/>
    </row>
    <row r="14" spans="1:7" x14ac:dyDescent="0.25">
      <c r="A14" s="50"/>
      <c r="B14" s="50"/>
      <c r="C14" s="50"/>
      <c r="D14" s="50"/>
      <c r="E14" s="51"/>
      <c r="F14" s="50"/>
      <c r="G14" s="50"/>
    </row>
    <row r="15" spans="1:7" x14ac:dyDescent="0.25">
      <c r="A15" s="50"/>
      <c r="B15" s="50"/>
      <c r="C15" s="50"/>
      <c r="D15" s="50"/>
      <c r="E15" s="51"/>
      <c r="F15" s="50"/>
      <c r="G15" s="50"/>
    </row>
    <row r="16" spans="1:7" x14ac:dyDescent="0.25">
      <c r="A16" s="50"/>
      <c r="B16" s="50"/>
      <c r="C16" s="50"/>
      <c r="D16" s="50"/>
      <c r="E16" s="51"/>
      <c r="F16" s="50"/>
      <c r="G16" s="50"/>
    </row>
    <row r="17" spans="1:7" x14ac:dyDescent="0.25">
      <c r="A17" s="50"/>
      <c r="B17" s="50"/>
      <c r="C17" s="50"/>
      <c r="D17" s="50"/>
      <c r="E17" s="51"/>
      <c r="F17" s="50"/>
      <c r="G17" s="50"/>
    </row>
    <row r="18" spans="1:7" x14ac:dyDescent="0.25">
      <c r="A18" s="50"/>
      <c r="B18" s="50"/>
      <c r="C18" s="50"/>
      <c r="D18" s="50"/>
      <c r="E18" s="51"/>
      <c r="F18" s="50"/>
      <c r="G18" s="50"/>
    </row>
    <row r="19" spans="1:7" x14ac:dyDescent="0.25">
      <c r="A19" s="50"/>
      <c r="B19" s="50"/>
      <c r="C19" s="50"/>
      <c r="D19" s="50"/>
      <c r="E19" s="51"/>
      <c r="F19" s="50"/>
      <c r="G19" s="50"/>
    </row>
    <row r="20" spans="1:7" x14ac:dyDescent="0.25">
      <c r="A20" s="50"/>
      <c r="B20" s="50"/>
      <c r="C20" s="50"/>
      <c r="D20" s="50"/>
      <c r="E20" s="51"/>
      <c r="F20" s="50"/>
      <c r="G20" s="50"/>
    </row>
    <row r="21" spans="1:7" x14ac:dyDescent="0.25">
      <c r="A21" s="50"/>
      <c r="B21" s="50"/>
      <c r="C21" s="50"/>
      <c r="D21" s="50"/>
      <c r="E21" s="51"/>
      <c r="F21" s="50"/>
      <c r="G21" s="50"/>
    </row>
    <row r="22" spans="1:7" x14ac:dyDescent="0.25">
      <c r="A22" s="50"/>
      <c r="B22" s="50"/>
      <c r="C22" s="50"/>
      <c r="D22" s="50"/>
      <c r="E22" s="51"/>
      <c r="F22" s="50"/>
      <c r="G22" s="50"/>
    </row>
    <row r="23" spans="1:7" x14ac:dyDescent="0.25">
      <c r="A23" s="50"/>
      <c r="B23" s="50"/>
      <c r="C23" s="50"/>
      <c r="D23" s="50"/>
      <c r="E23" s="51"/>
      <c r="F23" s="50"/>
      <c r="G23" s="50"/>
    </row>
    <row r="24" spans="1:7" x14ac:dyDescent="0.25">
      <c r="A24" s="50"/>
      <c r="B24" s="50"/>
      <c r="C24" s="50"/>
      <c r="D24" s="50"/>
      <c r="E24" s="51"/>
      <c r="F24" s="50"/>
      <c r="G24" s="50"/>
    </row>
    <row r="25" spans="1:7" x14ac:dyDescent="0.25">
      <c r="A25" s="50"/>
      <c r="B25" s="50"/>
      <c r="C25" s="50"/>
      <c r="D25" s="50"/>
      <c r="E25" s="51"/>
      <c r="F25" s="50"/>
      <c r="G25" s="50"/>
    </row>
    <row r="26" spans="1:7" x14ac:dyDescent="0.25">
      <c r="A26" s="50"/>
      <c r="B26" s="50"/>
      <c r="C26" s="50"/>
      <c r="D26" s="50"/>
      <c r="E26" s="51"/>
      <c r="F26" s="50"/>
      <c r="G26" s="50"/>
    </row>
    <row r="27" spans="1:7" x14ac:dyDescent="0.25">
      <c r="A27" s="50"/>
      <c r="B27" s="50"/>
      <c r="C27" s="50"/>
      <c r="D27" s="50"/>
      <c r="E27" s="51"/>
      <c r="F27" s="50"/>
      <c r="G27" s="50"/>
    </row>
    <row r="28" spans="1:7" x14ac:dyDescent="0.25">
      <c r="A28" s="50"/>
      <c r="B28" s="50"/>
      <c r="C28" s="50"/>
      <c r="D28" s="50"/>
      <c r="E28" s="51"/>
      <c r="F28" s="50"/>
      <c r="G28" s="50"/>
    </row>
    <row r="29" spans="1:7" x14ac:dyDescent="0.25">
      <c r="A29" s="50"/>
      <c r="B29" s="50"/>
      <c r="C29" s="50"/>
      <c r="D29" s="50"/>
      <c r="E29" s="51"/>
      <c r="F29" s="50"/>
      <c r="G29" s="50"/>
    </row>
    <row r="30" spans="1:7" x14ac:dyDescent="0.25">
      <c r="A30" s="50"/>
      <c r="B30" s="50"/>
      <c r="C30" s="50"/>
      <c r="D30" s="50"/>
      <c r="E30" s="51"/>
      <c r="F30" s="50"/>
      <c r="G30" s="50"/>
    </row>
    <row r="31" spans="1:7" x14ac:dyDescent="0.25">
      <c r="A31" s="50"/>
      <c r="B31" s="50"/>
      <c r="C31" s="50"/>
      <c r="D31" s="50"/>
      <c r="E31" s="51"/>
      <c r="F31" s="50"/>
      <c r="G31" s="50"/>
    </row>
    <row r="32" spans="1:7" x14ac:dyDescent="0.25">
      <c r="A32" s="50"/>
      <c r="B32" s="50"/>
      <c r="C32" s="50"/>
      <c r="D32" s="50"/>
      <c r="E32" s="51"/>
      <c r="F32" s="50"/>
      <c r="G32" s="50"/>
    </row>
    <row r="33" spans="1:7" x14ac:dyDescent="0.25">
      <c r="A33" s="50"/>
      <c r="B33" s="50"/>
      <c r="C33" s="50"/>
      <c r="D33" s="50"/>
      <c r="E33" s="51"/>
      <c r="F33" s="50"/>
      <c r="G33" s="50"/>
    </row>
    <row r="34" spans="1:7" x14ac:dyDescent="0.25">
      <c r="A34" s="50"/>
      <c r="B34" s="50"/>
      <c r="C34" s="50"/>
      <c r="D34" s="50"/>
      <c r="E34" s="51"/>
      <c r="F34" s="50"/>
      <c r="G34" s="50"/>
    </row>
    <row r="35" spans="1:7" x14ac:dyDescent="0.25">
      <c r="A35" s="50"/>
      <c r="B35" s="50"/>
      <c r="C35" s="50"/>
      <c r="D35" s="50"/>
      <c r="E35" s="51"/>
      <c r="F35" s="50"/>
      <c r="G35" s="50"/>
    </row>
    <row r="36" spans="1:7" x14ac:dyDescent="0.25">
      <c r="A36" s="50"/>
      <c r="B36" s="50"/>
      <c r="C36" s="50"/>
      <c r="D36" s="50"/>
      <c r="E36" s="51"/>
      <c r="F36" s="50"/>
      <c r="G36" s="50"/>
    </row>
    <row r="37" spans="1:7" x14ac:dyDescent="0.25">
      <c r="A37" s="50"/>
      <c r="B37" s="50"/>
      <c r="C37" s="50"/>
      <c r="D37" s="50"/>
      <c r="E37" s="51"/>
      <c r="F37" s="50"/>
      <c r="G37" s="50"/>
    </row>
    <row r="38" spans="1:7" x14ac:dyDescent="0.25">
      <c r="A38" s="50"/>
      <c r="B38" s="50"/>
      <c r="C38" s="50"/>
      <c r="D38" s="50"/>
      <c r="E38" s="51"/>
      <c r="F38" s="50"/>
      <c r="G38" s="50"/>
    </row>
    <row r="39" spans="1:7" x14ac:dyDescent="0.25">
      <c r="A39" s="50"/>
      <c r="B39" s="50"/>
      <c r="C39" s="50"/>
      <c r="D39" s="50"/>
      <c r="E39" s="51"/>
      <c r="F39" s="50"/>
      <c r="G39" s="50"/>
    </row>
    <row r="40" spans="1:7" x14ac:dyDescent="0.25">
      <c r="A40" s="50"/>
      <c r="B40" s="50"/>
      <c r="C40" s="50"/>
      <c r="D40" s="50"/>
      <c r="E40" s="51"/>
      <c r="F40" s="50"/>
      <c r="G40" s="50"/>
    </row>
    <row r="41" spans="1:7" x14ac:dyDescent="0.25">
      <c r="A41" s="50"/>
      <c r="B41" s="50"/>
      <c r="C41" s="50"/>
      <c r="D41" s="50"/>
      <c r="E41" s="51"/>
      <c r="F41" s="50"/>
      <c r="G41" s="50"/>
    </row>
    <row r="42" spans="1:7" x14ac:dyDescent="0.25">
      <c r="A42" s="50"/>
      <c r="B42" s="50"/>
      <c r="C42" s="50"/>
      <c r="D42" s="50"/>
      <c r="E42" s="51"/>
      <c r="F42" s="50"/>
      <c r="G42" s="50"/>
    </row>
    <row r="43" spans="1:7" x14ac:dyDescent="0.25">
      <c r="A43" s="50"/>
      <c r="B43" s="50"/>
      <c r="C43" s="50"/>
      <c r="D43" s="50"/>
      <c r="E43" s="51"/>
      <c r="F43" s="50"/>
      <c r="G43" s="50"/>
    </row>
    <row r="44" spans="1:7" x14ac:dyDescent="0.25">
      <c r="A44" s="50"/>
      <c r="B44" s="50"/>
      <c r="C44" s="50"/>
      <c r="D44" s="50"/>
      <c r="E44" s="51"/>
      <c r="F44" s="50"/>
      <c r="G44" s="50"/>
    </row>
    <row r="45" spans="1:7" x14ac:dyDescent="0.25">
      <c r="A45" s="50"/>
      <c r="B45" s="50"/>
      <c r="C45" s="50"/>
      <c r="D45" s="50"/>
      <c r="E45" s="51"/>
      <c r="F45" s="50"/>
      <c r="G45" s="50"/>
    </row>
    <row r="46" spans="1:7" x14ac:dyDescent="0.25">
      <c r="A46" s="50"/>
      <c r="B46" s="50"/>
      <c r="C46" s="50"/>
      <c r="D46" s="50"/>
      <c r="E46" s="51"/>
      <c r="F46" s="50"/>
      <c r="G46" s="50"/>
    </row>
    <row r="47" spans="1:7" x14ac:dyDescent="0.25">
      <c r="A47" s="50"/>
      <c r="B47" s="50"/>
      <c r="C47" s="50"/>
      <c r="D47" s="50"/>
      <c r="E47" s="51"/>
      <c r="F47" s="50"/>
      <c r="G47" s="50"/>
    </row>
    <row r="48" spans="1:7" x14ac:dyDescent="0.25">
      <c r="A48" s="50"/>
      <c r="B48" s="50"/>
      <c r="C48" s="50"/>
      <c r="D48" s="50"/>
      <c r="E48" s="51"/>
      <c r="F48" s="50"/>
      <c r="G48" s="50"/>
    </row>
    <row r="49" spans="1:7" x14ac:dyDescent="0.25">
      <c r="A49" s="50"/>
      <c r="B49" s="50"/>
      <c r="C49" s="50"/>
      <c r="D49" s="50"/>
      <c r="E49" s="51"/>
      <c r="F49" s="50"/>
      <c r="G49" s="50"/>
    </row>
    <row r="50" spans="1:7" x14ac:dyDescent="0.25">
      <c r="A50" s="50"/>
      <c r="B50" s="50"/>
      <c r="C50" s="50"/>
      <c r="D50" s="50"/>
      <c r="E50" s="51"/>
      <c r="F50" s="50"/>
      <c r="G50" s="50"/>
    </row>
    <row r="51" spans="1:7" x14ac:dyDescent="0.25">
      <c r="A51" s="50"/>
      <c r="B51" s="50"/>
      <c r="C51" s="50"/>
      <c r="D51" s="50"/>
      <c r="E51" s="51"/>
      <c r="F51" s="50"/>
      <c r="G51" s="50"/>
    </row>
    <row r="52" spans="1:7" x14ac:dyDescent="0.25">
      <c r="A52" s="50"/>
      <c r="B52" s="50"/>
      <c r="C52" s="50"/>
      <c r="D52" s="50"/>
      <c r="E52" s="51"/>
      <c r="F52" s="50"/>
      <c r="G52" s="50"/>
    </row>
    <row r="53" spans="1:7" x14ac:dyDescent="0.25">
      <c r="A53" s="50"/>
      <c r="B53" s="50"/>
      <c r="C53" s="50"/>
      <c r="D53" s="50"/>
      <c r="E53" s="51"/>
      <c r="F53" s="50"/>
      <c r="G53" s="50"/>
    </row>
    <row r="54" spans="1:7" x14ac:dyDescent="0.25">
      <c r="A54" s="50"/>
      <c r="B54" s="50"/>
      <c r="C54" s="50"/>
      <c r="D54" s="50"/>
      <c r="E54" s="51"/>
      <c r="F54" s="50"/>
      <c r="G54" s="50"/>
    </row>
    <row r="55" spans="1:7" x14ac:dyDescent="0.25">
      <c r="A55" s="50"/>
      <c r="B55" s="50"/>
      <c r="C55" s="50"/>
      <c r="D55" s="50"/>
      <c r="E55" s="51"/>
      <c r="F55" s="50"/>
      <c r="G55" s="50"/>
    </row>
    <row r="56" spans="1:7" x14ac:dyDescent="0.25">
      <c r="A56" s="50"/>
      <c r="B56" s="50"/>
      <c r="C56" s="50"/>
      <c r="D56" s="50"/>
      <c r="E56" s="51"/>
      <c r="F56" s="50"/>
      <c r="G56" s="50"/>
    </row>
    <row r="57" spans="1:7" x14ac:dyDescent="0.25">
      <c r="A57" s="50"/>
      <c r="B57" s="50"/>
      <c r="C57" s="50"/>
      <c r="D57" s="50"/>
      <c r="E57" s="51"/>
      <c r="F57" s="50"/>
      <c r="G57" s="50"/>
    </row>
    <row r="58" spans="1:7" x14ac:dyDescent="0.25">
      <c r="A58" s="50"/>
      <c r="B58" s="50"/>
      <c r="C58" s="50"/>
      <c r="D58" s="50"/>
      <c r="E58" s="51"/>
      <c r="F58" s="50"/>
      <c r="G58" s="50"/>
    </row>
    <row r="59" spans="1:7" x14ac:dyDescent="0.25">
      <c r="A59" s="50"/>
      <c r="B59" s="50"/>
      <c r="C59" s="50"/>
      <c r="D59" s="50"/>
      <c r="E59" s="51"/>
      <c r="F59" s="50"/>
      <c r="G59" s="50"/>
    </row>
    <row r="60" spans="1:7" x14ac:dyDescent="0.25">
      <c r="A60" s="50"/>
      <c r="B60" s="50"/>
      <c r="C60" s="50"/>
      <c r="D60" s="50"/>
      <c r="E60" s="51"/>
      <c r="F60" s="50"/>
      <c r="G60" s="50"/>
    </row>
    <row r="61" spans="1:7" x14ac:dyDescent="0.25">
      <c r="A61" s="50"/>
      <c r="B61" s="50"/>
      <c r="C61" s="50"/>
      <c r="D61" s="50"/>
      <c r="E61" s="51"/>
      <c r="F61" s="50"/>
      <c r="G61" s="50"/>
    </row>
    <row r="62" spans="1:7" x14ac:dyDescent="0.25">
      <c r="A62" s="50"/>
      <c r="B62" s="50"/>
      <c r="C62" s="50"/>
      <c r="D62" s="50"/>
      <c r="E62" s="51"/>
      <c r="F62" s="50"/>
      <c r="G62" s="50"/>
    </row>
    <row r="63" spans="1:7" x14ac:dyDescent="0.25">
      <c r="A63" s="50"/>
      <c r="B63" s="50"/>
      <c r="C63" s="50"/>
      <c r="D63" s="50"/>
      <c r="E63" s="51"/>
      <c r="F63" s="50"/>
      <c r="G63" s="50"/>
    </row>
    <row r="64" spans="1:7" x14ac:dyDescent="0.25">
      <c r="A64" s="50"/>
      <c r="B64" s="50"/>
      <c r="C64" s="50"/>
      <c r="D64" s="50"/>
      <c r="E64" s="51"/>
      <c r="F64" s="50"/>
      <c r="G64" s="50"/>
    </row>
    <row r="65" spans="1:7" x14ac:dyDescent="0.25">
      <c r="A65" s="50"/>
      <c r="B65" s="50"/>
      <c r="C65" s="50"/>
      <c r="D65" s="50"/>
      <c r="E65" s="51"/>
      <c r="F65" s="50"/>
      <c r="G65" s="50"/>
    </row>
    <row r="66" spans="1:7" x14ac:dyDescent="0.25">
      <c r="A66" s="50"/>
      <c r="B66" s="50"/>
      <c r="C66" s="50"/>
      <c r="D66" s="50"/>
      <c r="E66" s="51"/>
      <c r="F66" s="50"/>
      <c r="G66" s="50"/>
    </row>
    <row r="67" spans="1:7" x14ac:dyDescent="0.25">
      <c r="A67" s="50"/>
      <c r="B67" s="50"/>
      <c r="C67" s="50"/>
      <c r="D67" s="50"/>
      <c r="E67" s="51"/>
      <c r="F67" s="50"/>
      <c r="G67" s="50"/>
    </row>
    <row r="68" spans="1:7" x14ac:dyDescent="0.25">
      <c r="A68" s="50"/>
      <c r="B68" s="50"/>
      <c r="C68" s="50"/>
      <c r="D68" s="50"/>
      <c r="E68" s="51"/>
      <c r="F68" s="50"/>
      <c r="G68" s="50"/>
    </row>
    <row r="69" spans="1:7" x14ac:dyDescent="0.25">
      <c r="A69" s="50"/>
      <c r="B69" s="50"/>
      <c r="C69" s="50"/>
      <c r="D69" s="50"/>
      <c r="E69" s="51"/>
      <c r="F69" s="50"/>
      <c r="G69" s="50"/>
    </row>
    <row r="70" spans="1:7" x14ac:dyDescent="0.25">
      <c r="A70" s="50"/>
      <c r="B70" s="50"/>
      <c r="C70" s="50"/>
      <c r="D70" s="50"/>
      <c r="E70" s="51"/>
      <c r="F70" s="50"/>
      <c r="G70" s="50"/>
    </row>
    <row r="71" spans="1:7" x14ac:dyDescent="0.25">
      <c r="A71" s="50"/>
      <c r="B71" s="50"/>
      <c r="C71" s="50"/>
      <c r="D71" s="50"/>
      <c r="E71" s="51"/>
      <c r="F71" s="50"/>
      <c r="G71" s="50"/>
    </row>
    <row r="72" spans="1:7" x14ac:dyDescent="0.25">
      <c r="A72" s="50"/>
      <c r="B72" s="50"/>
      <c r="C72" s="50"/>
      <c r="D72" s="50"/>
      <c r="E72" s="51"/>
      <c r="F72" s="50"/>
      <c r="G72" s="50"/>
    </row>
    <row r="73" spans="1:7" x14ac:dyDescent="0.25">
      <c r="A73" s="50"/>
      <c r="B73" s="50"/>
      <c r="C73" s="50"/>
      <c r="D73" s="50"/>
      <c r="E73" s="51"/>
      <c r="F73" s="50"/>
      <c r="G73" s="50"/>
    </row>
    <row r="74" spans="1:7" x14ac:dyDescent="0.25">
      <c r="A74" s="50"/>
      <c r="B74" s="50"/>
      <c r="C74" s="50"/>
      <c r="D74" s="50"/>
      <c r="E74" s="51"/>
      <c r="F74" s="50"/>
      <c r="G74" s="50"/>
    </row>
    <row r="75" spans="1:7" x14ac:dyDescent="0.25">
      <c r="A75" s="50"/>
      <c r="B75" s="50"/>
      <c r="C75" s="50"/>
      <c r="D75" s="50"/>
      <c r="E75" s="51"/>
      <c r="F75" s="50"/>
      <c r="G75" s="50"/>
    </row>
    <row r="76" spans="1:7" x14ac:dyDescent="0.25">
      <c r="A76" s="50"/>
      <c r="B76" s="50"/>
      <c r="C76" s="50"/>
      <c r="D76" s="50"/>
      <c r="E76" s="51"/>
      <c r="F76" s="50"/>
      <c r="G76" s="50"/>
    </row>
    <row r="77" spans="1:7" x14ac:dyDescent="0.25">
      <c r="A77" s="50"/>
      <c r="B77" s="50"/>
      <c r="C77" s="50"/>
      <c r="D77" s="50"/>
      <c r="E77" s="51"/>
      <c r="F77" s="50"/>
      <c r="G77" s="50"/>
    </row>
    <row r="78" spans="1:7" x14ac:dyDescent="0.25">
      <c r="A78" s="50"/>
      <c r="B78" s="50"/>
      <c r="C78" s="50"/>
      <c r="D78" s="50"/>
      <c r="E78" s="51"/>
      <c r="F78" s="50"/>
      <c r="G78" s="50"/>
    </row>
    <row r="79" spans="1:7" x14ac:dyDescent="0.25">
      <c r="A79" s="50"/>
      <c r="B79" s="50"/>
      <c r="C79" s="50"/>
      <c r="D79" s="50"/>
      <c r="E79" s="51"/>
      <c r="F79" s="50"/>
      <c r="G79" s="50"/>
    </row>
    <row r="80" spans="1:7" x14ac:dyDescent="0.25">
      <c r="A80" s="50"/>
      <c r="B80" s="50"/>
      <c r="C80" s="50"/>
      <c r="D80" s="50"/>
      <c r="E80" s="51"/>
      <c r="F80" s="50"/>
      <c r="G80" s="50"/>
    </row>
    <row r="81" spans="1:7" x14ac:dyDescent="0.25">
      <c r="A81" s="50"/>
      <c r="B81" s="50"/>
      <c r="C81" s="50"/>
      <c r="D81" s="50"/>
      <c r="E81" s="51"/>
      <c r="F81" s="50"/>
      <c r="G81" s="50"/>
    </row>
    <row r="82" spans="1:7" x14ac:dyDescent="0.25">
      <c r="A82" s="50"/>
      <c r="B82" s="50"/>
      <c r="C82" s="50"/>
      <c r="D82" s="50"/>
      <c r="E82" s="51"/>
      <c r="F82" s="50"/>
      <c r="G82" s="50"/>
    </row>
    <row r="83" spans="1:7" x14ac:dyDescent="0.25">
      <c r="A83" s="50"/>
      <c r="B83" s="50"/>
      <c r="C83" s="50"/>
      <c r="D83" s="50"/>
      <c r="E83" s="51"/>
      <c r="F83" s="50"/>
      <c r="G83" s="50"/>
    </row>
    <row r="84" spans="1:7" x14ac:dyDescent="0.25">
      <c r="A84" s="50"/>
      <c r="B84" s="50"/>
      <c r="C84" s="50"/>
      <c r="D84" s="50"/>
      <c r="E84" s="51"/>
      <c r="F84" s="50"/>
      <c r="G84" s="50"/>
    </row>
    <row r="85" spans="1:7" x14ac:dyDescent="0.25">
      <c r="A85" s="50"/>
      <c r="B85" s="50"/>
      <c r="C85" s="50"/>
      <c r="D85" s="50"/>
      <c r="E85" s="51"/>
      <c r="F85" s="50"/>
      <c r="G85" s="50"/>
    </row>
    <row r="86" spans="1:7" x14ac:dyDescent="0.25">
      <c r="A86" s="50"/>
      <c r="B86" s="50"/>
      <c r="C86" s="50"/>
      <c r="D86" s="50"/>
      <c r="E86" s="51"/>
      <c r="F86" s="50"/>
      <c r="G86" s="50"/>
    </row>
    <row r="87" spans="1:7" x14ac:dyDescent="0.25">
      <c r="A87" s="50"/>
      <c r="B87" s="50"/>
      <c r="C87" s="50"/>
      <c r="D87" s="50"/>
      <c r="E87" s="51"/>
      <c r="F87" s="50"/>
      <c r="G87" s="50"/>
    </row>
    <row r="88" spans="1:7" x14ac:dyDescent="0.25">
      <c r="A88" s="50"/>
      <c r="B88" s="50"/>
      <c r="C88" s="50"/>
      <c r="D88" s="50"/>
      <c r="E88" s="51"/>
      <c r="F88" s="50"/>
      <c r="G88" s="50"/>
    </row>
    <row r="89" spans="1:7" x14ac:dyDescent="0.25">
      <c r="A89" s="50"/>
      <c r="B89" s="50"/>
      <c r="C89" s="50"/>
      <c r="D89" s="50"/>
      <c r="E89" s="51"/>
      <c r="F89" s="50"/>
      <c r="G89" s="50"/>
    </row>
    <row r="90" spans="1:7" x14ac:dyDescent="0.25">
      <c r="A90" s="50"/>
      <c r="B90" s="50"/>
      <c r="C90" s="50"/>
      <c r="D90" s="50"/>
      <c r="E90" s="51"/>
      <c r="F90" s="50"/>
      <c r="G90" s="50"/>
    </row>
    <row r="91" spans="1:7" x14ac:dyDescent="0.25">
      <c r="A91" s="50"/>
      <c r="B91" s="50"/>
      <c r="C91" s="50"/>
      <c r="D91" s="50"/>
      <c r="E91" s="51"/>
      <c r="F91" s="50"/>
      <c r="G91" s="50"/>
    </row>
    <row r="92" spans="1:7" x14ac:dyDescent="0.25">
      <c r="A92" s="50"/>
      <c r="B92" s="50"/>
      <c r="C92" s="50"/>
      <c r="D92" s="50"/>
      <c r="E92" s="51"/>
      <c r="F92" s="50"/>
      <c r="G92" s="50"/>
    </row>
    <row r="93" spans="1:7" x14ac:dyDescent="0.25">
      <c r="A93" s="50"/>
      <c r="B93" s="50"/>
      <c r="C93" s="50"/>
      <c r="D93" s="50"/>
      <c r="E93" s="51"/>
      <c r="F93" s="50"/>
      <c r="G93" s="50"/>
    </row>
    <row r="94" spans="1:7" x14ac:dyDescent="0.25">
      <c r="A94" s="50"/>
      <c r="B94" s="50"/>
      <c r="C94" s="50"/>
      <c r="D94" s="50"/>
      <c r="E94" s="51"/>
      <c r="F94" s="50"/>
      <c r="G94" s="50"/>
    </row>
    <row r="95" spans="1:7" x14ac:dyDescent="0.25">
      <c r="A95" s="50"/>
      <c r="B95" s="50"/>
      <c r="C95" s="50"/>
      <c r="D95" s="50"/>
      <c r="E95" s="51"/>
      <c r="F95" s="50"/>
      <c r="G95" s="50"/>
    </row>
    <row r="96" spans="1:7" x14ac:dyDescent="0.25">
      <c r="A96" s="50"/>
      <c r="B96" s="50"/>
      <c r="C96" s="50"/>
      <c r="D96" s="50"/>
      <c r="E96" s="51"/>
      <c r="F96" s="50"/>
      <c r="G96" s="50"/>
    </row>
    <row r="97" spans="1:7" x14ac:dyDescent="0.25">
      <c r="A97" s="50"/>
      <c r="B97" s="50"/>
      <c r="C97" s="50"/>
      <c r="D97" s="50"/>
      <c r="E97" s="51"/>
      <c r="F97" s="50"/>
      <c r="G97" s="50"/>
    </row>
    <row r="98" spans="1:7" x14ac:dyDescent="0.25">
      <c r="A98" s="50"/>
      <c r="B98" s="50"/>
      <c r="C98" s="50"/>
      <c r="D98" s="50"/>
      <c r="E98" s="51"/>
      <c r="F98" s="50"/>
      <c r="G98" s="50"/>
    </row>
    <row r="99" spans="1:7" x14ac:dyDescent="0.25">
      <c r="A99" s="50"/>
      <c r="B99" s="50"/>
      <c r="C99" s="50"/>
      <c r="D99" s="50"/>
      <c r="E99" s="51"/>
      <c r="F99" s="50"/>
      <c r="G99" s="50"/>
    </row>
    <row r="100" spans="1:7" x14ac:dyDescent="0.25">
      <c r="A100" s="50"/>
      <c r="B100" s="50"/>
      <c r="C100" s="50"/>
      <c r="D100" s="50"/>
      <c r="E100" s="51"/>
      <c r="F100" s="50"/>
      <c r="G100" s="50"/>
    </row>
    <row r="101" spans="1:7" x14ac:dyDescent="0.25">
      <c r="A101" s="50"/>
      <c r="B101" s="50"/>
      <c r="C101" s="50"/>
      <c r="D101" s="50"/>
      <c r="E101" s="51"/>
      <c r="F101" s="50"/>
      <c r="G101" s="50"/>
    </row>
    <row r="102" spans="1:7" x14ac:dyDescent="0.25">
      <c r="A102" s="50"/>
      <c r="B102" s="50"/>
      <c r="C102" s="50"/>
      <c r="D102" s="50"/>
      <c r="E102" s="51"/>
      <c r="F102" s="50"/>
      <c r="G102" s="50"/>
    </row>
    <row r="103" spans="1:7" x14ac:dyDescent="0.25">
      <c r="A103" s="50"/>
      <c r="B103" s="50"/>
      <c r="C103" s="50"/>
      <c r="D103" s="50"/>
      <c r="E103" s="51"/>
      <c r="F103" s="50"/>
      <c r="G103" s="50"/>
    </row>
    <row r="104" spans="1:7" x14ac:dyDescent="0.25">
      <c r="A104" s="50"/>
      <c r="B104" s="50"/>
      <c r="C104" s="50"/>
      <c r="D104" s="50"/>
      <c r="E104" s="51"/>
      <c r="F104" s="50"/>
      <c r="G104" s="50"/>
    </row>
    <row r="105" spans="1:7" x14ac:dyDescent="0.25">
      <c r="A105" s="50"/>
      <c r="B105" s="50"/>
      <c r="C105" s="50"/>
      <c r="D105" s="50"/>
      <c r="E105" s="51"/>
      <c r="F105" s="50"/>
      <c r="G105" s="50"/>
    </row>
    <row r="106" spans="1:7" x14ac:dyDescent="0.25">
      <c r="A106" s="50"/>
      <c r="B106" s="50"/>
      <c r="C106" s="50"/>
      <c r="D106" s="50"/>
      <c r="E106" s="51"/>
      <c r="F106" s="50"/>
      <c r="G106" s="50"/>
    </row>
    <row r="107" spans="1:7" x14ac:dyDescent="0.25">
      <c r="A107" s="50"/>
      <c r="B107" s="50"/>
      <c r="C107" s="50"/>
      <c r="D107" s="50"/>
      <c r="E107" s="51"/>
      <c r="F107" s="50"/>
      <c r="G107" s="50"/>
    </row>
    <row r="108" spans="1:7" x14ac:dyDescent="0.25">
      <c r="A108" s="50"/>
      <c r="B108" s="50"/>
      <c r="C108" s="50"/>
      <c r="D108" s="50"/>
      <c r="E108" s="51"/>
      <c r="F108" s="50"/>
      <c r="G108" s="50"/>
    </row>
    <row r="109" spans="1:7" x14ac:dyDescent="0.25">
      <c r="A109" s="50"/>
      <c r="B109" s="50"/>
      <c r="C109" s="50"/>
      <c r="D109" s="50"/>
      <c r="E109" s="51"/>
      <c r="F109" s="50"/>
      <c r="G109" s="50"/>
    </row>
    <row r="110" spans="1:7" x14ac:dyDescent="0.25">
      <c r="A110" s="50"/>
      <c r="B110" s="50"/>
      <c r="C110" s="50"/>
      <c r="D110" s="50"/>
      <c r="E110" s="51"/>
      <c r="F110" s="50"/>
      <c r="G110" s="50"/>
    </row>
    <row r="111" spans="1:7" x14ac:dyDescent="0.25">
      <c r="A111" s="50"/>
      <c r="B111" s="50"/>
      <c r="C111" s="50"/>
      <c r="D111" s="50"/>
      <c r="E111" s="51"/>
      <c r="F111" s="50"/>
      <c r="G111" s="50"/>
    </row>
    <row r="112" spans="1:7" x14ac:dyDescent="0.25">
      <c r="A112" s="50"/>
      <c r="B112" s="50"/>
      <c r="C112" s="50"/>
      <c r="D112" s="50"/>
      <c r="E112" s="51"/>
      <c r="F112" s="50"/>
      <c r="G112" s="50"/>
    </row>
    <row r="113" spans="1:7" x14ac:dyDescent="0.25">
      <c r="A113" s="50"/>
      <c r="B113" s="50"/>
      <c r="C113" s="50"/>
      <c r="D113" s="50"/>
      <c r="E113" s="51"/>
      <c r="F113" s="50"/>
      <c r="G113" s="50"/>
    </row>
    <row r="114" spans="1:7" x14ac:dyDescent="0.25">
      <c r="A114" s="50"/>
      <c r="B114" s="50"/>
      <c r="C114" s="50"/>
      <c r="D114" s="50"/>
      <c r="E114" s="51"/>
      <c r="F114" s="50"/>
      <c r="G114" s="50"/>
    </row>
    <row r="115" spans="1:7" x14ac:dyDescent="0.25">
      <c r="A115" s="50"/>
      <c r="B115" s="50"/>
      <c r="C115" s="50"/>
      <c r="D115" s="50"/>
      <c r="E115" s="51"/>
      <c r="F115" s="50"/>
      <c r="G115" s="50"/>
    </row>
    <row r="116" spans="1:7" x14ac:dyDescent="0.25">
      <c r="A116" s="50"/>
      <c r="B116" s="50"/>
      <c r="C116" s="50"/>
      <c r="D116" s="50"/>
      <c r="E116" s="51"/>
      <c r="F116" s="50"/>
      <c r="G116" s="50"/>
    </row>
    <row r="117" spans="1:7" x14ac:dyDescent="0.25">
      <c r="A117" s="50"/>
      <c r="B117" s="50"/>
      <c r="C117" s="50"/>
      <c r="D117" s="50"/>
      <c r="E117" s="51"/>
      <c r="F117" s="50"/>
      <c r="G117" s="50"/>
    </row>
    <row r="118" spans="1:7" x14ac:dyDescent="0.25">
      <c r="A118" s="50"/>
      <c r="B118" s="50"/>
      <c r="C118" s="50"/>
      <c r="D118" s="50"/>
      <c r="E118" s="51"/>
      <c r="F118" s="50"/>
      <c r="G118" s="50"/>
    </row>
    <row r="119" spans="1:7" x14ac:dyDescent="0.25">
      <c r="A119" s="50"/>
      <c r="B119" s="50"/>
      <c r="C119" s="50"/>
      <c r="D119" s="50"/>
      <c r="E119" s="51"/>
      <c r="F119" s="50"/>
      <c r="G119" s="50"/>
    </row>
    <row r="120" spans="1:7" x14ac:dyDescent="0.25">
      <c r="A120" s="50"/>
      <c r="B120" s="50"/>
      <c r="C120" s="50"/>
      <c r="D120" s="50"/>
      <c r="E120" s="51"/>
      <c r="F120" s="50"/>
      <c r="G120" s="50"/>
    </row>
    <row r="121" spans="1:7" x14ac:dyDescent="0.25">
      <c r="A121" s="50"/>
      <c r="B121" s="50"/>
      <c r="C121" s="50"/>
      <c r="D121" s="50"/>
      <c r="E121" s="51"/>
      <c r="F121" s="50"/>
      <c r="G121" s="50"/>
    </row>
    <row r="122" spans="1:7" x14ac:dyDescent="0.25">
      <c r="A122" s="50"/>
      <c r="B122" s="50"/>
      <c r="C122" s="50"/>
      <c r="D122" s="50"/>
      <c r="E122" s="51"/>
      <c r="F122" s="50"/>
      <c r="G122" s="50"/>
    </row>
    <row r="123" spans="1:7" x14ac:dyDescent="0.25">
      <c r="A123" s="50"/>
      <c r="B123" s="50"/>
      <c r="C123" s="50"/>
      <c r="D123" s="50"/>
      <c r="E123" s="51"/>
      <c r="F123" s="50"/>
      <c r="G123" s="50"/>
    </row>
    <row r="124" spans="1:7" x14ac:dyDescent="0.25">
      <c r="A124" s="50"/>
      <c r="B124" s="50"/>
      <c r="C124" s="50"/>
      <c r="D124" s="50"/>
      <c r="E124" s="51"/>
      <c r="F124" s="50"/>
      <c r="G124" s="50"/>
    </row>
    <row r="125" spans="1:7" x14ac:dyDescent="0.25">
      <c r="A125" s="50"/>
      <c r="B125" s="50"/>
      <c r="C125" s="50"/>
      <c r="D125" s="50"/>
      <c r="E125" s="51"/>
      <c r="F125" s="50"/>
      <c r="G125" s="50"/>
    </row>
    <row r="126" spans="1:7" x14ac:dyDescent="0.25">
      <c r="A126" s="50"/>
      <c r="B126" s="50"/>
      <c r="C126" s="50"/>
      <c r="D126" s="50"/>
      <c r="E126" s="51"/>
      <c r="F126" s="50"/>
      <c r="G126" s="50"/>
    </row>
    <row r="127" spans="1:7" x14ac:dyDescent="0.25">
      <c r="A127" s="50"/>
      <c r="B127" s="50"/>
      <c r="C127" s="50"/>
      <c r="D127" s="50"/>
      <c r="E127" s="51"/>
      <c r="F127" s="50"/>
      <c r="G127" s="50"/>
    </row>
    <row r="128" spans="1:7" x14ac:dyDescent="0.25">
      <c r="A128" s="50"/>
      <c r="B128" s="50"/>
      <c r="C128" s="50"/>
      <c r="D128" s="50"/>
      <c r="E128" s="51"/>
      <c r="F128" s="50"/>
      <c r="G128" s="50"/>
    </row>
    <row r="129" spans="1:7" x14ac:dyDescent="0.25">
      <c r="A129" s="50"/>
      <c r="B129" s="50"/>
      <c r="C129" s="50"/>
      <c r="D129" s="50"/>
      <c r="E129" s="51"/>
      <c r="F129" s="50"/>
      <c r="G129" s="50"/>
    </row>
    <row r="130" spans="1:7" x14ac:dyDescent="0.25">
      <c r="A130" s="50"/>
      <c r="B130" s="50"/>
      <c r="C130" s="50"/>
      <c r="D130" s="50"/>
      <c r="E130" s="51"/>
      <c r="F130" s="50"/>
      <c r="G130" s="50"/>
    </row>
    <row r="131" spans="1:7" x14ac:dyDescent="0.25">
      <c r="A131" s="50"/>
      <c r="B131" s="50"/>
      <c r="C131" s="50"/>
      <c r="D131" s="50"/>
      <c r="E131" s="51"/>
      <c r="F131" s="50"/>
      <c r="G131" s="50"/>
    </row>
    <row r="132" spans="1:7" x14ac:dyDescent="0.25">
      <c r="A132" s="50"/>
      <c r="B132" s="50"/>
      <c r="C132" s="50"/>
      <c r="D132" s="50"/>
      <c r="E132" s="51"/>
      <c r="F132" s="50"/>
      <c r="G132" s="50"/>
    </row>
    <row r="133" spans="1:7" x14ac:dyDescent="0.25">
      <c r="A133" s="50"/>
      <c r="B133" s="50"/>
      <c r="C133" s="50"/>
      <c r="D133" s="50"/>
      <c r="E133" s="51"/>
      <c r="F133" s="50"/>
      <c r="G133" s="50"/>
    </row>
    <row r="134" spans="1:7" x14ac:dyDescent="0.25">
      <c r="A134" s="50"/>
      <c r="B134" s="50"/>
      <c r="C134" s="50"/>
      <c r="D134" s="50"/>
      <c r="E134" s="51"/>
      <c r="F134" s="50"/>
      <c r="G134" s="50"/>
    </row>
    <row r="135" spans="1:7" x14ac:dyDescent="0.25">
      <c r="A135" s="50"/>
      <c r="B135" s="50"/>
      <c r="C135" s="50"/>
      <c r="D135" s="50"/>
      <c r="E135" s="51"/>
      <c r="F135" s="50"/>
      <c r="G135" s="50"/>
    </row>
    <row r="136" spans="1:7" x14ac:dyDescent="0.25">
      <c r="A136" s="50"/>
      <c r="B136" s="50"/>
      <c r="C136" s="50"/>
      <c r="D136" s="50"/>
      <c r="E136" s="51"/>
      <c r="F136" s="50"/>
      <c r="G136" s="50"/>
    </row>
    <row r="137" spans="1:7" x14ac:dyDescent="0.25">
      <c r="A137" s="50"/>
      <c r="B137" s="50"/>
      <c r="C137" s="50"/>
      <c r="D137" s="50"/>
      <c r="E137" s="51"/>
      <c r="F137" s="50"/>
      <c r="G137" s="50"/>
    </row>
    <row r="138" spans="1:7" x14ac:dyDescent="0.25">
      <c r="A138" s="50"/>
      <c r="B138" s="50"/>
      <c r="C138" s="50"/>
      <c r="D138" s="50"/>
      <c r="E138" s="51"/>
      <c r="F138" s="50"/>
      <c r="G138" s="50"/>
    </row>
    <row r="139" spans="1:7" x14ac:dyDescent="0.25">
      <c r="A139" s="50"/>
      <c r="B139" s="50"/>
      <c r="C139" s="50"/>
      <c r="D139" s="50"/>
      <c r="E139" s="51"/>
      <c r="F139" s="50"/>
      <c r="G139" s="50"/>
    </row>
    <row r="140" spans="1:7" x14ac:dyDescent="0.25">
      <c r="A140" s="50"/>
      <c r="B140" s="50"/>
      <c r="C140" s="50"/>
      <c r="D140" s="50"/>
      <c r="E140" s="51"/>
      <c r="F140" s="50"/>
      <c r="G140" s="50"/>
    </row>
    <row r="141" spans="1:7" x14ac:dyDescent="0.25">
      <c r="A141" s="50"/>
      <c r="B141" s="50"/>
      <c r="C141" s="50"/>
      <c r="D141" s="50"/>
      <c r="E141" s="51"/>
      <c r="F141" s="50"/>
      <c r="G141" s="50"/>
    </row>
    <row r="142" spans="1:7" x14ac:dyDescent="0.25">
      <c r="A142" s="50"/>
      <c r="B142" s="50"/>
      <c r="C142" s="50"/>
      <c r="D142" s="50"/>
      <c r="E142" s="51"/>
      <c r="F142" s="50"/>
      <c r="G142" s="50"/>
    </row>
    <row r="143" spans="1:7" x14ac:dyDescent="0.25">
      <c r="A143" s="50"/>
      <c r="B143" s="50"/>
      <c r="C143" s="50"/>
      <c r="D143" s="50"/>
      <c r="E143" s="51"/>
      <c r="F143" s="50"/>
      <c r="G143" s="50"/>
    </row>
    <row r="144" spans="1:7" x14ac:dyDescent="0.25">
      <c r="A144" s="50"/>
      <c r="B144" s="50"/>
      <c r="C144" s="50"/>
      <c r="D144" s="50"/>
      <c r="E144" s="51"/>
      <c r="F144" s="50"/>
      <c r="G144" s="50"/>
    </row>
    <row r="145" spans="1:7" x14ac:dyDescent="0.25">
      <c r="A145" s="50"/>
      <c r="B145" s="50"/>
      <c r="C145" s="50"/>
      <c r="D145" s="50"/>
      <c r="E145" s="51"/>
      <c r="F145" s="50"/>
      <c r="G145" s="50"/>
    </row>
    <row r="146" spans="1:7" x14ac:dyDescent="0.25">
      <c r="A146" s="50"/>
      <c r="B146" s="50"/>
      <c r="C146" s="50"/>
      <c r="D146" s="50"/>
      <c r="E146" s="51"/>
      <c r="F146" s="50"/>
      <c r="G146" s="50"/>
    </row>
    <row r="147" spans="1:7" x14ac:dyDescent="0.25">
      <c r="A147" s="50"/>
      <c r="B147" s="50"/>
      <c r="C147" s="50"/>
      <c r="D147" s="50"/>
      <c r="E147" s="51"/>
      <c r="F147" s="50"/>
      <c r="G147" s="50"/>
    </row>
    <row r="148" spans="1:7" x14ac:dyDescent="0.25">
      <c r="A148" s="50"/>
      <c r="B148" s="50"/>
      <c r="C148" s="50"/>
      <c r="D148" s="50"/>
      <c r="E148" s="51"/>
      <c r="F148" s="50"/>
      <c r="G148" s="50"/>
    </row>
    <row r="149" spans="1:7" x14ac:dyDescent="0.25">
      <c r="A149" s="50"/>
      <c r="B149" s="50"/>
      <c r="C149" s="50"/>
      <c r="D149" s="50"/>
      <c r="E149" s="51"/>
      <c r="F149" s="50"/>
      <c r="G149" s="50"/>
    </row>
    <row r="150" spans="1:7" x14ac:dyDescent="0.25">
      <c r="A150" s="50"/>
      <c r="B150" s="50"/>
      <c r="C150" s="50"/>
      <c r="D150" s="50"/>
      <c r="E150" s="51"/>
      <c r="F150" s="50"/>
      <c r="G150" s="50"/>
    </row>
    <row r="151" spans="1:7" x14ac:dyDescent="0.25">
      <c r="A151" s="50"/>
      <c r="B151" s="50"/>
      <c r="C151" s="50"/>
      <c r="D151" s="50"/>
      <c r="E151" s="51"/>
      <c r="F151" s="50"/>
      <c r="G151" s="50"/>
    </row>
    <row r="152" spans="1:7" x14ac:dyDescent="0.25">
      <c r="A152" s="50"/>
      <c r="B152" s="50"/>
      <c r="C152" s="50"/>
      <c r="D152" s="50"/>
      <c r="E152" s="51"/>
      <c r="F152" s="50"/>
      <c r="G152" s="50"/>
    </row>
    <row r="153" spans="1:7" x14ac:dyDescent="0.25">
      <c r="A153" s="50"/>
      <c r="B153" s="50"/>
      <c r="C153" s="50"/>
      <c r="D153" s="50"/>
      <c r="E153" s="51"/>
      <c r="F153" s="50"/>
      <c r="G153" s="50"/>
    </row>
    <row r="154" spans="1:7" x14ac:dyDescent="0.25">
      <c r="A154" s="50"/>
      <c r="B154" s="50"/>
      <c r="C154" s="50"/>
      <c r="D154" s="50"/>
      <c r="E154" s="51"/>
      <c r="F154" s="50"/>
      <c r="G154" s="50"/>
    </row>
    <row r="155" spans="1:7" x14ac:dyDescent="0.25">
      <c r="A155" s="50"/>
      <c r="B155" s="50"/>
      <c r="C155" s="50"/>
      <c r="D155" s="50"/>
      <c r="E155" s="51"/>
      <c r="F155" s="50"/>
      <c r="G155" s="50"/>
    </row>
    <row r="156" spans="1:7" x14ac:dyDescent="0.25">
      <c r="A156" s="50"/>
      <c r="B156" s="50"/>
      <c r="C156" s="50"/>
      <c r="D156" s="50"/>
      <c r="E156" s="51"/>
      <c r="F156" s="50"/>
      <c r="G156" s="50"/>
    </row>
    <row r="157" spans="1:7" x14ac:dyDescent="0.25">
      <c r="A157" s="50"/>
      <c r="B157" s="50"/>
      <c r="C157" s="50"/>
      <c r="D157" s="50"/>
      <c r="E157" s="51"/>
      <c r="F157" s="50"/>
      <c r="G157" s="50"/>
    </row>
    <row r="158" spans="1:7" x14ac:dyDescent="0.25">
      <c r="A158" s="50"/>
      <c r="B158" s="50"/>
      <c r="C158" s="50"/>
      <c r="D158" s="50"/>
      <c r="E158" s="51"/>
      <c r="F158" s="50"/>
      <c r="G158" s="50"/>
    </row>
    <row r="159" spans="1:7" x14ac:dyDescent="0.25">
      <c r="A159" s="50"/>
      <c r="B159" s="50"/>
      <c r="C159" s="50"/>
      <c r="D159" s="50"/>
      <c r="E159" s="51"/>
      <c r="F159" s="50"/>
      <c r="G159" s="50"/>
    </row>
    <row r="160" spans="1:7" x14ac:dyDescent="0.25">
      <c r="A160" s="50"/>
      <c r="B160" s="50"/>
      <c r="C160" s="50"/>
      <c r="D160" s="50"/>
      <c r="E160" s="51"/>
      <c r="F160" s="50"/>
      <c r="G160" s="50"/>
    </row>
    <row r="161" spans="1:7" x14ac:dyDescent="0.25">
      <c r="A161" s="50"/>
      <c r="B161" s="50"/>
      <c r="C161" s="50"/>
      <c r="D161" s="50"/>
      <c r="E161" s="51"/>
      <c r="F161" s="50"/>
      <c r="G161" s="50"/>
    </row>
    <row r="162" spans="1:7" x14ac:dyDescent="0.25">
      <c r="A162" s="50"/>
      <c r="B162" s="50"/>
      <c r="C162" s="50"/>
      <c r="D162" s="50"/>
      <c r="E162" s="51"/>
      <c r="F162" s="50"/>
      <c r="G162" s="50"/>
    </row>
    <row r="163" spans="1:7" x14ac:dyDescent="0.25">
      <c r="A163" s="50"/>
      <c r="B163" s="50"/>
      <c r="C163" s="50"/>
      <c r="D163" s="50"/>
      <c r="E163" s="51"/>
      <c r="F163" s="50"/>
      <c r="G163" s="50"/>
    </row>
    <row r="164" spans="1:7" x14ac:dyDescent="0.25">
      <c r="A164" s="50"/>
      <c r="B164" s="50"/>
      <c r="C164" s="50"/>
      <c r="D164" s="50"/>
      <c r="E164" s="51"/>
      <c r="F164" s="50"/>
      <c r="G164" s="50"/>
    </row>
    <row r="165" spans="1:7" x14ac:dyDescent="0.25">
      <c r="A165" s="50"/>
      <c r="B165" s="50"/>
      <c r="C165" s="50"/>
      <c r="D165" s="50"/>
      <c r="E165" s="51"/>
      <c r="F165" s="50"/>
      <c r="G165" s="50"/>
    </row>
    <row r="166" spans="1:7" x14ac:dyDescent="0.25">
      <c r="A166" s="50"/>
      <c r="B166" s="50"/>
      <c r="C166" s="50"/>
      <c r="D166" s="50"/>
      <c r="E166" s="51"/>
      <c r="F166" s="50"/>
      <c r="G166" s="50"/>
    </row>
    <row r="167" spans="1:7" x14ac:dyDescent="0.25">
      <c r="A167" s="50"/>
      <c r="B167" s="50"/>
      <c r="C167" s="50"/>
      <c r="D167" s="50"/>
      <c r="E167" s="51"/>
      <c r="F167" s="50"/>
      <c r="G167" s="50"/>
    </row>
    <row r="168" spans="1:7" x14ac:dyDescent="0.25">
      <c r="A168" s="50"/>
      <c r="B168" s="50"/>
      <c r="C168" s="50"/>
      <c r="D168" s="50"/>
      <c r="E168" s="51"/>
      <c r="F168" s="50"/>
      <c r="G168" s="50"/>
    </row>
    <row r="169" spans="1:7" x14ac:dyDescent="0.25">
      <c r="A169" s="50"/>
      <c r="B169" s="50"/>
      <c r="C169" s="50"/>
      <c r="D169" s="50"/>
      <c r="E169" s="51"/>
      <c r="F169" s="50"/>
      <c r="G169" s="50"/>
    </row>
    <row r="170" spans="1:7" x14ac:dyDescent="0.25">
      <c r="A170" s="50"/>
      <c r="B170" s="50"/>
      <c r="C170" s="50"/>
      <c r="D170" s="50"/>
      <c r="E170" s="51"/>
      <c r="F170" s="50"/>
      <c r="G170" s="50"/>
    </row>
    <row r="171" spans="1:7" x14ac:dyDescent="0.25">
      <c r="A171" s="50"/>
      <c r="B171" s="50"/>
      <c r="C171" s="50"/>
      <c r="D171" s="50"/>
      <c r="E171" s="51"/>
      <c r="F171" s="50"/>
      <c r="G171" s="50"/>
    </row>
    <row r="172" spans="1:7" x14ac:dyDescent="0.25">
      <c r="A172" s="50"/>
      <c r="B172" s="50"/>
      <c r="C172" s="50"/>
      <c r="D172" s="50"/>
      <c r="E172" s="51"/>
      <c r="F172" s="50"/>
      <c r="G172" s="50"/>
    </row>
    <row r="173" spans="1:7" x14ac:dyDescent="0.25">
      <c r="A173" s="50"/>
      <c r="B173" s="50"/>
      <c r="C173" s="50"/>
      <c r="D173" s="50"/>
      <c r="E173" s="51"/>
      <c r="F173" s="50"/>
      <c r="G173" s="50"/>
    </row>
    <row r="174" spans="1:7" x14ac:dyDescent="0.25">
      <c r="A174" s="50"/>
      <c r="B174" s="50"/>
      <c r="C174" s="50"/>
      <c r="D174" s="50"/>
      <c r="E174" s="51"/>
      <c r="F174" s="50"/>
      <c r="G174" s="50"/>
    </row>
    <row r="175" spans="1:7" x14ac:dyDescent="0.25">
      <c r="A175" s="50"/>
      <c r="B175" s="50"/>
      <c r="C175" s="50"/>
      <c r="D175" s="50"/>
      <c r="E175" s="51"/>
      <c r="F175" s="50"/>
      <c r="G175" s="50"/>
    </row>
    <row r="176" spans="1:7" x14ac:dyDescent="0.25">
      <c r="A176" s="50"/>
      <c r="B176" s="50"/>
      <c r="C176" s="50"/>
      <c r="D176" s="50"/>
      <c r="E176" s="51"/>
      <c r="F176" s="50"/>
      <c r="G176" s="50"/>
    </row>
    <row r="177" spans="1:7" x14ac:dyDescent="0.25">
      <c r="A177" s="50"/>
      <c r="B177" s="50"/>
      <c r="C177" s="50"/>
      <c r="D177" s="50"/>
      <c r="E177" s="51"/>
      <c r="F177" s="50"/>
      <c r="G177" s="50"/>
    </row>
    <row r="178" spans="1:7" x14ac:dyDescent="0.25">
      <c r="A178" s="50"/>
      <c r="B178" s="50"/>
      <c r="C178" s="50"/>
      <c r="D178" s="50"/>
      <c r="E178" s="51"/>
      <c r="F178" s="50"/>
      <c r="G178" s="50"/>
    </row>
    <row r="179" spans="1:7" x14ac:dyDescent="0.25">
      <c r="A179" s="50"/>
      <c r="B179" s="50"/>
      <c r="C179" s="50"/>
      <c r="D179" s="50"/>
      <c r="E179" s="51"/>
      <c r="F179" s="50"/>
      <c r="G179" s="50"/>
    </row>
    <row r="180" spans="1:7" x14ac:dyDescent="0.25">
      <c r="A180" s="50"/>
      <c r="B180" s="50"/>
      <c r="C180" s="50"/>
      <c r="D180" s="50"/>
      <c r="E180" s="51"/>
      <c r="F180" s="50"/>
      <c r="G180" s="50"/>
    </row>
    <row r="181" spans="1:7" x14ac:dyDescent="0.25">
      <c r="A181" s="50"/>
      <c r="B181" s="50"/>
      <c r="C181" s="50"/>
      <c r="D181" s="50"/>
      <c r="E181" s="51"/>
      <c r="F181" s="50"/>
      <c r="G181" s="50"/>
    </row>
    <row r="182" spans="1:7" x14ac:dyDescent="0.25">
      <c r="A182" s="50"/>
      <c r="B182" s="50"/>
      <c r="C182" s="50"/>
      <c r="D182" s="50"/>
      <c r="E182" s="51"/>
      <c r="F182" s="50"/>
      <c r="G182" s="50"/>
    </row>
    <row r="183" spans="1:7" x14ac:dyDescent="0.25">
      <c r="A183" s="50"/>
      <c r="B183" s="50"/>
      <c r="C183" s="50"/>
      <c r="D183" s="50"/>
      <c r="E183" s="51"/>
      <c r="F183" s="50"/>
      <c r="G183" s="50"/>
    </row>
    <row r="184" spans="1:7" x14ac:dyDescent="0.25">
      <c r="A184" s="50"/>
      <c r="B184" s="50"/>
      <c r="C184" s="50"/>
      <c r="D184" s="50"/>
      <c r="E184" s="51"/>
      <c r="F184" s="50"/>
      <c r="G184" s="50"/>
    </row>
    <row r="185" spans="1:7" x14ac:dyDescent="0.25">
      <c r="A185" s="50"/>
      <c r="B185" s="50"/>
      <c r="C185" s="50"/>
      <c r="D185" s="50"/>
      <c r="E185" s="51"/>
      <c r="F185" s="50"/>
      <c r="G185" s="50"/>
    </row>
    <row r="186" spans="1:7" x14ac:dyDescent="0.25">
      <c r="A186" s="50"/>
      <c r="B186" s="50"/>
      <c r="C186" s="50"/>
      <c r="D186" s="50"/>
      <c r="E186" s="51"/>
      <c r="F186" s="50"/>
      <c r="G186" s="50"/>
    </row>
    <row r="187" spans="1:7" x14ac:dyDescent="0.25">
      <c r="A187" s="50"/>
      <c r="B187" s="50"/>
      <c r="C187" s="50"/>
      <c r="D187" s="50"/>
      <c r="E187" s="51"/>
      <c r="F187" s="50"/>
      <c r="G187" s="50"/>
    </row>
    <row r="188" spans="1:7" x14ac:dyDescent="0.25">
      <c r="A188" s="50"/>
      <c r="B188" s="50"/>
      <c r="C188" s="50"/>
      <c r="D188" s="50"/>
      <c r="E188" s="51"/>
      <c r="F188" s="50"/>
      <c r="G188" s="50"/>
    </row>
    <row r="189" spans="1:7" x14ac:dyDescent="0.25">
      <c r="A189" s="50"/>
      <c r="B189" s="50"/>
      <c r="C189" s="50"/>
      <c r="D189" s="50"/>
      <c r="E189" s="51"/>
      <c r="F189" s="50"/>
      <c r="G189" s="50"/>
    </row>
    <row r="190" spans="1:7" x14ac:dyDescent="0.25">
      <c r="A190" s="50"/>
      <c r="B190" s="50"/>
      <c r="C190" s="50"/>
      <c r="D190" s="50"/>
      <c r="E190" s="51"/>
      <c r="F190" s="50"/>
      <c r="G190" s="5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Table</vt:lpstr>
      <vt:lpstr>Name Mapping</vt:lpstr>
      <vt:lpstr>Data Checks</vt:lpstr>
      <vt:lpstr>Unique PDFs To Be Created</vt:lpstr>
      <vt:lpstr>Pull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Davidson</dc:creator>
  <cp:lastModifiedBy>Hunter Davidson</cp:lastModifiedBy>
  <dcterms:created xsi:type="dcterms:W3CDTF">2024-12-07T18:02:26Z</dcterms:created>
  <dcterms:modified xsi:type="dcterms:W3CDTF">2024-12-09T02:32:18Z</dcterms:modified>
</cp:coreProperties>
</file>